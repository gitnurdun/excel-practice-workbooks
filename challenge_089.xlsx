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89 - Outlier Detection with Formulas</t>
        </is>
      </c>
    </row>
    <row r="4">
      <c r="B4" s="2" t="inlineStr">
        <is>
          <t>Difficulty: Hardcore</t>
        </is>
      </c>
    </row>
    <row r="5">
      <c r="B5" s="3" t="inlineStr">
        <is>
          <t>Category: Statistical</t>
        </is>
      </c>
    </row>
    <row r="6">
      <c r="B6" s="3" t="inlineStr">
        <is>
          <t>Skills: QUARTILE, IQR, IF (outlier flagging)</t>
        </is>
      </c>
    </row>
    <row r="8">
      <c r="B8" s="2" t="inlineStr">
        <is>
          <t>Instructions</t>
        </is>
      </c>
    </row>
    <row r="9">
      <c r="B9" s="4" t="inlineStr">
        <is>
          <t>Outlier = value &lt; (Q1 - 1.5*IQR) OR value &gt; (Q3 + 1.5*IQR). This is the Tukey method.</t>
        </is>
      </c>
    </row>
    <row r="11">
      <c r="B11" s="2" t="inlineStr">
        <is>
          <t>Questions</t>
        </is>
      </c>
    </row>
    <row r="13">
      <c r="B13" s="5" t="inlineStr">
        <is>
          <t>1. Calculate Q1, Q3, and IQR for the dataset.</t>
        </is>
      </c>
    </row>
    <row r="14">
      <c r="B14" s="6" t="inlineStr">
        <is>
          <t>2. Calculate the lower fence (Q1 - 1.5*IQR) and upper fence (Q3 + 1.5*IQR).</t>
        </is>
      </c>
    </row>
    <row r="15">
      <c r="B15" s="6" t="inlineStr">
        <is>
          <t>3. Flag each value as 'Outlier' if outside the fences, else 'Normal'.</t>
        </is>
      </c>
    </row>
    <row r="16">
      <c r="B16" s="6" t="inlineStr">
        <is>
          <t>4. Count the number of outliers detected.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Value</t>
        </is>
      </c>
    </row>
    <row r="2">
      <c r="A2" s="8" t="n">
        <v>94.42</v>
      </c>
    </row>
    <row r="3">
      <c r="A3" s="8" t="n">
        <v>79.89</v>
      </c>
    </row>
    <row r="4">
      <c r="A4" s="8" t="n">
        <v>60.88</v>
      </c>
    </row>
    <row r="5">
      <c r="A5" s="8" t="n">
        <v>99.84</v>
      </c>
    </row>
    <row r="6">
      <c r="A6" s="8" t="n">
        <v>88.48</v>
      </c>
    </row>
    <row r="7">
      <c r="A7" s="8" t="n">
        <v>65.33</v>
      </c>
    </row>
    <row r="8">
      <c r="A8" s="8" t="n">
        <v>72.39</v>
      </c>
    </row>
    <row r="9">
      <c r="A9" s="8" t="n">
        <v>75.01000000000001</v>
      </c>
    </row>
    <row r="10">
      <c r="A10" s="8" t="n">
        <v>81.73</v>
      </c>
    </row>
    <row r="11">
      <c r="A11" s="8" t="n">
        <v>72.97</v>
      </c>
    </row>
    <row r="12">
      <c r="A12" s="8" t="n">
        <v>57.45</v>
      </c>
    </row>
    <row r="13">
      <c r="A13" s="8" t="n">
        <v>66.45999999999999</v>
      </c>
    </row>
    <row r="14">
      <c r="A14" s="8" t="n">
        <v>56.44</v>
      </c>
    </row>
    <row r="15">
      <c r="A15" s="8" t="n">
        <v>75.12</v>
      </c>
    </row>
    <row r="16">
      <c r="A16" s="8" t="n">
        <v>80.68000000000001</v>
      </c>
    </row>
    <row r="17">
      <c r="A17" s="8" t="n">
        <v>80.09</v>
      </c>
    </row>
    <row r="18">
      <c r="A18" s="8" t="n">
        <v>53.53</v>
      </c>
    </row>
    <row r="19">
      <c r="A19" s="8" t="n">
        <v>77.79000000000001</v>
      </c>
    </row>
    <row r="20">
      <c r="A20" s="8" t="n">
        <v>89.06999999999999</v>
      </c>
    </row>
    <row r="21">
      <c r="A21" s="8" t="n">
        <v>78.65000000000001</v>
      </c>
    </row>
    <row r="22">
      <c r="A22" s="8" t="n">
        <v>66.89</v>
      </c>
    </row>
    <row r="23">
      <c r="A23" s="8" t="n">
        <v>89.27</v>
      </c>
    </row>
    <row r="24">
      <c r="A24" s="8" t="n">
        <v>69.98</v>
      </c>
    </row>
    <row r="25">
      <c r="A25" s="8" t="n">
        <v>89.67</v>
      </c>
    </row>
    <row r="26">
      <c r="A26" s="8" t="n">
        <v>50.53</v>
      </c>
    </row>
    <row r="27">
      <c r="A27" s="8" t="n">
        <v>54.42</v>
      </c>
    </row>
    <row r="28">
      <c r="A28" s="8" t="n">
        <v>72.89</v>
      </c>
    </row>
    <row r="29">
      <c r="A29" s="8" t="n">
        <v>54.18</v>
      </c>
    </row>
    <row r="30">
      <c r="A30" s="8" t="n">
        <v>59.76</v>
      </c>
    </row>
    <row r="31">
      <c r="A31" s="8" t="n">
        <v>96.66</v>
      </c>
    </row>
    <row r="32">
      <c r="A32" s="8" t="n">
        <v>88.83</v>
      </c>
    </row>
    <row r="33">
      <c r="A33" s="8" t="n">
        <v>64.94</v>
      </c>
    </row>
    <row r="34">
      <c r="A34" s="8" t="n">
        <v>55.73</v>
      </c>
    </row>
    <row r="35">
      <c r="A35" s="8" t="n">
        <v>86.56999999999999</v>
      </c>
    </row>
    <row r="36">
      <c r="A36" s="8" t="n">
        <v>85.40000000000001</v>
      </c>
    </row>
    <row r="37">
      <c r="A37" s="8" t="n">
        <v>58.66</v>
      </c>
    </row>
    <row r="38">
      <c r="A38" s="8" t="n">
        <v>77.75</v>
      </c>
    </row>
    <row r="39">
      <c r="A39" s="8" t="n">
        <v>82.06</v>
      </c>
    </row>
    <row r="40">
      <c r="A40" s="8" t="n">
        <v>54.45</v>
      </c>
    </row>
    <row r="41">
      <c r="A41" s="8" t="n">
        <v>55.58</v>
      </c>
    </row>
    <row r="42">
      <c r="A42" s="8" t="n">
        <v>200</v>
      </c>
    </row>
    <row r="43">
      <c r="A43" s="8" t="n">
        <v>5</v>
      </c>
    </row>
    <row r="44">
      <c r="A44" s="8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7" t="n"/>
      <c r="B4" s="7" t="inlineStr">
        <is>
          <t>Q#</t>
        </is>
      </c>
      <c r="C4" s="7" t="inlineStr">
        <is>
          <t>Formula / Answer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 t="inlineStr">
        <is>
          <t>Q1: =QUARTILE(A2:A43,1); Q3: =QUARTILE(A2:A43,3); IQR: =Q3-Q1</t>
        </is>
      </c>
      <c r="D5" s="11" t="inlineStr">
        <is>
          <t>Quartiles and IQR</t>
        </is>
      </c>
    </row>
    <row r="6">
      <c r="A6" s="8" t="n"/>
      <c r="B6" s="9" t="inlineStr">
        <is>
          <t>Q2</t>
        </is>
      </c>
      <c r="C6" s="10" t="inlineStr">
        <is>
          <t>Lower: =Q1-1.5*IQR; Upper: =Q3+1.5*IQR</t>
        </is>
      </c>
      <c r="D6" s="11" t="inlineStr">
        <is>
          <t>Fences</t>
        </is>
      </c>
    </row>
    <row r="7">
      <c r="A7" s="8" t="n"/>
      <c r="B7" s="9" t="inlineStr">
        <is>
          <t>Q3</t>
        </is>
      </c>
      <c r="C7" s="10">
        <f>IF(OR(A2&lt;LowerFence,A2&gt;UpperFence),"Outlier","Normal") [fill down]</f>
        <v/>
      </c>
      <c r="D7" s="11" t="inlineStr">
        <is>
          <t>Flag outliers</t>
        </is>
      </c>
    </row>
    <row r="8">
      <c r="A8" s="8" t="n"/>
      <c r="B8" s="9" t="inlineStr">
        <is>
          <t>Q4</t>
        </is>
      </c>
      <c r="C8" s="10">
        <f>COUNTIF(B2:B43,"Outlier")</f>
        <v/>
      </c>
      <c r="D8" s="11" t="inlineStr">
        <is>
          <t>Count outliers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