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0" fontId="8" fillId="0" borderId="1" pivotButton="0" quotePrefix="0" xfId="0"/>
    <xf numFmtId="0" fontId="9" fillId="3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93 - Rolling 12-Month Calculations</t>
        </is>
      </c>
    </row>
    <row r="4">
      <c r="B4" s="2" t="inlineStr">
        <is>
          <t>Difficulty: Hardcore</t>
        </is>
      </c>
    </row>
    <row r="5">
      <c r="B5" s="3" t="inlineStr">
        <is>
          <t>Category: Time Series</t>
        </is>
      </c>
    </row>
    <row r="6">
      <c r="B6" s="3" t="inlineStr">
        <is>
          <t>Skills: OFFSET, SUM, expanding/shrinking ranges</t>
        </is>
      </c>
    </row>
    <row r="8">
      <c r="B8" s="2" t="inlineStr">
        <is>
          <t>Instructions</t>
        </is>
      </c>
    </row>
    <row r="9">
      <c r="B9" s="4" t="inlineStr">
        <is>
          <t>Rolling 12M = SUM(OFFSET(current, -11, 0, 12, 1)). Requires at least 12 data points.</t>
        </is>
      </c>
    </row>
    <row r="11">
      <c r="B11" s="2" t="inlineStr">
        <is>
          <t>Questions</t>
        </is>
      </c>
    </row>
    <row r="13">
      <c r="B13" s="5" t="inlineStr">
        <is>
          <t>1. Calculate the rolling 12-month sum for each month (sum of current + previous 11 months).</t>
        </is>
      </c>
    </row>
    <row r="14">
      <c r="B14" s="6" t="inlineStr">
        <is>
          <t>2. Calculate the rolling 12-month average.</t>
        </is>
      </c>
    </row>
    <row r="15">
      <c r="B15" s="6" t="inlineStr">
        <is>
          <t>3. Find the month with the highest rolling 12-month total.</t>
        </is>
      </c>
    </row>
    <row r="16">
      <c r="B16" s="6" t="inlineStr">
        <is>
          <t>4. Calculate the month-over-month growth rate.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7" t="inlineStr">
        <is>
          <t>Month</t>
        </is>
      </c>
      <c r="B1" s="7" t="inlineStr">
        <is>
          <t>Revenue</t>
        </is>
      </c>
    </row>
    <row r="2">
      <c r="A2" s="8" t="n">
        <v>45658</v>
      </c>
      <c r="B2" s="9" t="n">
        <v>2564.03</v>
      </c>
    </row>
    <row r="3">
      <c r="A3" s="8" t="n">
        <v>45688</v>
      </c>
      <c r="B3" s="9" t="n">
        <v>4470.09</v>
      </c>
    </row>
    <row r="4">
      <c r="A4" s="8" t="n">
        <v>45718</v>
      </c>
      <c r="B4" s="9" t="n">
        <v>3179.18</v>
      </c>
    </row>
    <row r="5">
      <c r="A5" s="8" t="n">
        <v>45748</v>
      </c>
      <c r="B5" s="9" t="n">
        <v>2490.5</v>
      </c>
    </row>
    <row r="6">
      <c r="A6" s="8" t="n">
        <v>45778</v>
      </c>
      <c r="B6" s="9" t="n">
        <v>3566.12</v>
      </c>
    </row>
    <row r="7">
      <c r="A7" s="8" t="n">
        <v>45808</v>
      </c>
      <c r="B7" s="9" t="n">
        <v>4688.86</v>
      </c>
    </row>
    <row r="8">
      <c r="A8" s="8" t="n">
        <v>45838</v>
      </c>
      <c r="B8" s="9" t="n">
        <v>2035.86</v>
      </c>
    </row>
    <row r="9">
      <c r="A9" s="8" t="n">
        <v>45868</v>
      </c>
      <c r="B9" s="9" t="n">
        <v>4673.94</v>
      </c>
    </row>
    <row r="10">
      <c r="A10" s="8" t="n">
        <v>45898</v>
      </c>
      <c r="B10" s="9" t="n">
        <v>4927.12</v>
      </c>
    </row>
    <row r="11">
      <c r="A11" s="8" t="n">
        <v>45928</v>
      </c>
      <c r="B11" s="9" t="n">
        <v>2406.96</v>
      </c>
    </row>
    <row r="12">
      <c r="A12" s="8" t="n">
        <v>45958</v>
      </c>
      <c r="B12" s="9" t="n">
        <v>1252.46</v>
      </c>
    </row>
    <row r="13">
      <c r="A13" s="8" t="n">
        <v>45988</v>
      </c>
      <c r="B13" s="9" t="n">
        <v>3724.13</v>
      </c>
    </row>
    <row r="14">
      <c r="A14" s="8" t="n">
        <v>46018</v>
      </c>
      <c r="B14" s="9" t="n">
        <v>4676.24</v>
      </c>
    </row>
    <row r="15">
      <c r="A15" s="8" t="n">
        <v>46048</v>
      </c>
      <c r="B15" s="9" t="n">
        <v>2470.91</v>
      </c>
    </row>
    <row r="16">
      <c r="A16" s="8" t="n">
        <v>46078</v>
      </c>
      <c r="B16" s="9" t="n">
        <v>2253.65</v>
      </c>
    </row>
    <row r="17">
      <c r="A17" s="8" t="n">
        <v>46108</v>
      </c>
      <c r="B17" s="9" t="n">
        <v>1947.57</v>
      </c>
    </row>
    <row r="18">
      <c r="A18" s="8" t="n">
        <v>46138</v>
      </c>
      <c r="B18" s="9" t="n">
        <v>1496.9</v>
      </c>
    </row>
    <row r="19">
      <c r="A19" s="8" t="n">
        <v>46168</v>
      </c>
      <c r="B19" s="9" t="n">
        <v>3656.47</v>
      </c>
    </row>
    <row r="20">
      <c r="A20" s="8" t="n">
        <v>46198</v>
      </c>
      <c r="B20" s="9" t="n">
        <v>2157.23</v>
      </c>
    </row>
    <row r="21">
      <c r="A21" s="8" t="n">
        <v>46228</v>
      </c>
      <c r="B21" s="9" t="n">
        <v>4732.96</v>
      </c>
    </row>
    <row r="22">
      <c r="A22" s="8" t="n">
        <v>46258</v>
      </c>
      <c r="B22" s="9" t="n">
        <v>2631.3</v>
      </c>
    </row>
    <row r="23">
      <c r="A23" s="8" t="n">
        <v>46288</v>
      </c>
      <c r="B23" s="9" t="n">
        <v>1515.74</v>
      </c>
    </row>
    <row r="24">
      <c r="A24" s="8" t="n">
        <v>46318</v>
      </c>
      <c r="B24" s="9" t="n">
        <v>3667.96</v>
      </c>
    </row>
    <row r="25">
      <c r="A25" s="8" t="n">
        <v>46348</v>
      </c>
      <c r="B25" s="9" t="n">
        <v>4926.37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7" t="n"/>
      <c r="B4" s="7" t="inlineStr">
        <is>
          <t>Q#</t>
        </is>
      </c>
      <c r="C4" s="7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>
        <f>IF(ROW()&gt;=13,SUM(OFFSET(B2,-11,0,12,1)),"") [fill down from row 13]</f>
        <v/>
      </c>
      <c r="D5" s="12" t="inlineStr">
        <is>
          <t>Rolling 12M sum</t>
        </is>
      </c>
    </row>
    <row r="6">
      <c r="A6" s="9" t="n"/>
      <c r="B6" s="10" t="inlineStr">
        <is>
          <t>Q2</t>
        </is>
      </c>
      <c r="C6" s="11">
        <f>IF(ROW()&gt;=13,AVERAGE(OFFSET(B2,-11,0,12,1)),"")</f>
        <v/>
      </c>
      <c r="D6" s="12" t="inlineStr">
        <is>
          <t>Rolling 12M average</t>
        </is>
      </c>
    </row>
    <row r="7">
      <c r="A7" s="9" t="n"/>
      <c r="B7" s="10" t="inlineStr">
        <is>
          <t>Q3</t>
        </is>
      </c>
      <c r="C7" s="11">
        <f>INDEX(A2:A25,MATCH(MAX(C13:C25),C13:C25,0))</f>
        <v/>
      </c>
      <c r="D7" s="12" t="inlineStr">
        <is>
          <t>Month with highest rolling total</t>
        </is>
      </c>
    </row>
    <row r="8">
      <c r="A8" s="9" t="n"/>
      <c r="B8" s="10" t="inlineStr">
        <is>
          <t>Q4</t>
        </is>
      </c>
      <c r="C8" s="11">
        <f>(B2-OFFSET(B2,-1,0))/OFFSET(B2,-1,0)</f>
        <v/>
      </c>
      <c r="D8" s="12" t="inlineStr">
        <is>
          <t>MoM growth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