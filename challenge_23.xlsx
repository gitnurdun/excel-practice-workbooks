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23 - Inventory Valuation SUMIFS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Sum</t>
        </is>
      </c>
    </row>
    <row r="6">
      <c r="B6" s="3" t="inlineStr">
        <is>
          <t>Skills Practiced: SUMIFS</t>
        </is>
      </c>
    </row>
    <row r="8">
      <c r="B8" s="2" t="inlineStr">
        <is>
          <t>Instructions</t>
        </is>
      </c>
    </row>
    <row r="9">
      <c r="B9" s="4" t="inlineStr">
        <is>
          <t>First add Value column = Qty × Price, then use SUMIFS with criteria.</t>
        </is>
      </c>
    </row>
    <row r="11">
      <c r="B11" s="2" t="inlineStr">
        <is>
          <t>Questions to Solve</t>
        </is>
      </c>
    </row>
    <row r="12">
      <c r="B12" s="5" t="inlineStr">
        <is>
          <t>1. Calculate Total Value of Electronics (Qty × Price summed).</t>
        </is>
      </c>
    </row>
    <row r="13">
      <c r="B13" s="6" t="inlineStr">
        <is>
          <t>2. Calculate Total Value of Clothing.</t>
        </is>
      </c>
    </row>
    <row r="14">
      <c r="B14" s="6" t="inlineStr">
        <is>
          <t>3. Calculate Total Value of Food items.</t>
        </is>
      </c>
    </row>
    <row r="15">
      <c r="B15" s="6" t="inlineStr">
        <is>
          <t>4. Calculate Total Value of all items with Price &gt; 50.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0" customWidth="1" min="4" max="4"/>
    <col width="12" customWidth="1" min="5" max="5"/>
  </cols>
  <sheetData>
    <row r="1">
      <c r="A1" s="7" t="inlineStr">
        <is>
          <t>ProductID</t>
        </is>
      </c>
      <c r="B1" s="7" t="inlineStr">
        <is>
          <t>Category</t>
        </is>
      </c>
      <c r="C1" s="7" t="inlineStr">
        <is>
          <t>Qty</t>
        </is>
      </c>
      <c r="D1" s="7" t="inlineStr">
        <is>
          <t>Price</t>
        </is>
      </c>
      <c r="E1" s="7" t="inlineStr">
        <is>
          <t>Value</t>
        </is>
      </c>
    </row>
    <row r="2">
      <c r="A2" s="8" t="inlineStr">
        <is>
          <t>P001</t>
        </is>
      </c>
      <c r="B2" s="8" t="inlineStr">
        <is>
          <t>Books</t>
        </is>
      </c>
      <c r="C2" s="8" t="n">
        <v>46</v>
      </c>
      <c r="D2" s="8" t="n">
        <v>40.46</v>
      </c>
      <c r="E2" s="8" t="n">
        <v>1861.16</v>
      </c>
    </row>
    <row r="3">
      <c r="A3" s="8" t="inlineStr">
        <is>
          <t>P002</t>
        </is>
      </c>
      <c r="B3" s="8" t="inlineStr">
        <is>
          <t>Clothing</t>
        </is>
      </c>
      <c r="C3" s="8" t="n">
        <v>50</v>
      </c>
      <c r="D3" s="8" t="n">
        <v>160.58</v>
      </c>
      <c r="E3" s="8" t="n">
        <v>8029</v>
      </c>
    </row>
    <row r="4">
      <c r="A4" s="8" t="inlineStr">
        <is>
          <t>P003</t>
        </is>
      </c>
      <c r="B4" s="8" t="inlineStr">
        <is>
          <t>Food</t>
        </is>
      </c>
      <c r="C4" s="8" t="n">
        <v>40</v>
      </c>
      <c r="D4" s="8" t="n">
        <v>176.66</v>
      </c>
      <c r="E4" s="8" t="n">
        <v>7066.4</v>
      </c>
    </row>
    <row r="5">
      <c r="A5" s="8" t="inlineStr">
        <is>
          <t>P004</t>
        </is>
      </c>
      <c r="B5" s="8" t="inlineStr">
        <is>
          <t>Food</t>
        </is>
      </c>
      <c r="C5" s="8" t="n">
        <v>76</v>
      </c>
      <c r="D5" s="8" t="n">
        <v>6.98</v>
      </c>
      <c r="E5" s="8" t="n">
        <v>530.48</v>
      </c>
    </row>
    <row r="6">
      <c r="A6" s="8" t="inlineStr">
        <is>
          <t>P005</t>
        </is>
      </c>
      <c r="B6" s="8" t="inlineStr">
        <is>
          <t>Clothing</t>
        </is>
      </c>
      <c r="C6" s="8" t="n">
        <v>15</v>
      </c>
      <c r="D6" s="8" t="n">
        <v>52.06</v>
      </c>
      <c r="E6" s="8" t="n">
        <v>780.9</v>
      </c>
    </row>
    <row r="7">
      <c r="A7" s="8" t="inlineStr">
        <is>
          <t>P006</t>
        </is>
      </c>
      <c r="B7" s="8" t="inlineStr">
        <is>
          <t>Books</t>
        </is>
      </c>
      <c r="C7" s="8" t="n">
        <v>67</v>
      </c>
      <c r="D7" s="8" t="n">
        <v>113.26</v>
      </c>
      <c r="E7" s="8" t="n">
        <v>7588.42</v>
      </c>
    </row>
    <row r="8">
      <c r="A8" s="8" t="inlineStr">
        <is>
          <t>P007</t>
        </is>
      </c>
      <c r="B8" s="8" t="inlineStr">
        <is>
          <t>Clothing</t>
        </is>
      </c>
      <c r="C8" s="8" t="n">
        <v>93</v>
      </c>
      <c r="D8" s="8" t="n">
        <v>97.84</v>
      </c>
      <c r="E8" s="8" t="n">
        <v>9099.120000000001</v>
      </c>
    </row>
    <row r="9">
      <c r="A9" s="8" t="inlineStr">
        <is>
          <t>P008</t>
        </is>
      </c>
      <c r="B9" s="8" t="inlineStr">
        <is>
          <t>Books</t>
        </is>
      </c>
      <c r="C9" s="8" t="n">
        <v>62</v>
      </c>
      <c r="D9" s="8" t="n">
        <v>159.62</v>
      </c>
      <c r="E9" s="8" t="n">
        <v>9896.440000000001</v>
      </c>
    </row>
    <row r="10">
      <c r="A10" s="8" t="inlineStr">
        <is>
          <t>P009</t>
        </is>
      </c>
      <c r="B10" s="8" t="inlineStr">
        <is>
          <t>Electronics</t>
        </is>
      </c>
      <c r="C10" s="8" t="n">
        <v>42</v>
      </c>
      <c r="D10" s="8" t="n">
        <v>48.21</v>
      </c>
      <c r="E10" s="8" t="n">
        <v>2024.82</v>
      </c>
    </row>
    <row r="11">
      <c r="A11" s="8" t="inlineStr">
        <is>
          <t>P010</t>
        </is>
      </c>
      <c r="B11" s="8" t="inlineStr">
        <is>
          <t>Clothing</t>
        </is>
      </c>
      <c r="C11" s="8" t="n">
        <v>44</v>
      </c>
      <c r="D11" s="8" t="n">
        <v>134.47</v>
      </c>
      <c r="E11" s="8" t="n">
        <v>5916.68</v>
      </c>
    </row>
    <row r="12">
      <c r="A12" s="8" t="inlineStr">
        <is>
          <t>P011</t>
        </is>
      </c>
      <c r="B12" s="8" t="inlineStr">
        <is>
          <t>Food</t>
        </is>
      </c>
      <c r="C12" s="8" t="n">
        <v>65</v>
      </c>
      <c r="D12" s="8" t="n">
        <v>112.93</v>
      </c>
      <c r="E12" s="8" t="n">
        <v>7340.45</v>
      </c>
    </row>
    <row r="13">
      <c r="A13" s="8" t="inlineStr">
        <is>
          <t>P012</t>
        </is>
      </c>
      <c r="B13" s="8" t="inlineStr">
        <is>
          <t>Food</t>
        </is>
      </c>
      <c r="C13" s="8" t="n">
        <v>59</v>
      </c>
      <c r="D13" s="8" t="n">
        <v>199.34</v>
      </c>
      <c r="E13" s="8" t="n">
        <v>11761.06</v>
      </c>
    </row>
    <row r="14">
      <c r="A14" s="8" t="inlineStr">
        <is>
          <t>P013</t>
        </is>
      </c>
      <c r="B14" s="8" t="inlineStr">
        <is>
          <t>Toys</t>
        </is>
      </c>
      <c r="C14" s="8" t="n">
        <v>47</v>
      </c>
      <c r="D14" s="8" t="n">
        <v>73.59999999999999</v>
      </c>
      <c r="E14" s="8" t="n">
        <v>3459.2</v>
      </c>
    </row>
    <row r="15">
      <c r="A15" s="8" t="inlineStr">
        <is>
          <t>P014</t>
        </is>
      </c>
      <c r="B15" s="8" t="inlineStr">
        <is>
          <t>Books</t>
        </is>
      </c>
      <c r="C15" s="8" t="n">
        <v>39</v>
      </c>
      <c r="D15" s="8" t="n">
        <v>64.79000000000001</v>
      </c>
      <c r="E15" s="8" t="n">
        <v>2526.81</v>
      </c>
    </row>
    <row r="16">
      <c r="A16" s="8" t="inlineStr">
        <is>
          <t>P015</t>
        </is>
      </c>
      <c r="B16" s="8" t="inlineStr">
        <is>
          <t>Clothing</t>
        </is>
      </c>
      <c r="C16" s="8" t="n">
        <v>20</v>
      </c>
      <c r="D16" s="8" t="n">
        <v>145.65</v>
      </c>
      <c r="E16" s="8" t="n">
        <v>2913</v>
      </c>
    </row>
    <row r="17">
      <c r="A17" s="8" t="inlineStr">
        <is>
          <t>P016</t>
        </is>
      </c>
      <c r="B17" s="8" t="inlineStr">
        <is>
          <t>Food</t>
        </is>
      </c>
      <c r="C17" s="8" t="n">
        <v>20</v>
      </c>
      <c r="D17" s="8" t="n">
        <v>149.86</v>
      </c>
      <c r="E17" s="8" t="n">
        <v>2997.2</v>
      </c>
    </row>
    <row r="18">
      <c r="A18" s="8" t="inlineStr">
        <is>
          <t>P017</t>
        </is>
      </c>
      <c r="B18" s="8" t="inlineStr">
        <is>
          <t>Clothing</t>
        </is>
      </c>
      <c r="C18" s="8" t="n">
        <v>29</v>
      </c>
      <c r="D18" s="8" t="n">
        <v>47.2</v>
      </c>
      <c r="E18" s="8" t="n">
        <v>1368.8</v>
      </c>
    </row>
    <row r="19">
      <c r="A19" s="8" t="inlineStr">
        <is>
          <t>P018</t>
        </is>
      </c>
      <c r="B19" s="8" t="inlineStr">
        <is>
          <t>Books</t>
        </is>
      </c>
      <c r="C19" s="8" t="n">
        <v>40</v>
      </c>
      <c r="D19" s="8" t="n">
        <v>146.29</v>
      </c>
      <c r="E19" s="8" t="n">
        <v>5851.6</v>
      </c>
    </row>
    <row r="20">
      <c r="A20" s="8" t="inlineStr">
        <is>
          <t>P019</t>
        </is>
      </c>
      <c r="B20" s="8" t="inlineStr">
        <is>
          <t>Toys</t>
        </is>
      </c>
      <c r="C20" s="8" t="n">
        <v>81</v>
      </c>
      <c r="D20" s="8" t="n">
        <v>60.18</v>
      </c>
      <c r="E20" s="8" t="n">
        <v>4874.58</v>
      </c>
    </row>
    <row r="21">
      <c r="A21" s="8" t="inlineStr">
        <is>
          <t>P020</t>
        </is>
      </c>
      <c r="B21" s="8" t="inlineStr">
        <is>
          <t>Electronics</t>
        </is>
      </c>
      <c r="C21" s="8" t="n">
        <v>29</v>
      </c>
      <c r="D21" s="8" t="n">
        <v>62.77</v>
      </c>
      <c r="E21" s="8" t="n">
        <v>1820.33</v>
      </c>
    </row>
    <row r="22">
      <c r="A22" s="8" t="inlineStr">
        <is>
          <t>P021</t>
        </is>
      </c>
      <c r="B22" s="8" t="inlineStr">
        <is>
          <t>Food</t>
        </is>
      </c>
      <c r="C22" s="8" t="n">
        <v>27</v>
      </c>
      <c r="D22" s="8" t="n">
        <v>63.94</v>
      </c>
      <c r="E22" s="8" t="n">
        <v>1726.38</v>
      </c>
    </row>
    <row r="23">
      <c r="A23" s="8" t="inlineStr">
        <is>
          <t>P022</t>
        </is>
      </c>
      <c r="B23" s="8" t="inlineStr">
        <is>
          <t>Toys</t>
        </is>
      </c>
      <c r="C23" s="8" t="n">
        <v>21</v>
      </c>
      <c r="D23" s="8" t="n">
        <v>58.49</v>
      </c>
      <c r="E23" s="8" t="n">
        <v>1228.29</v>
      </c>
    </row>
    <row r="24">
      <c r="A24" s="8" t="inlineStr">
        <is>
          <t>P023</t>
        </is>
      </c>
      <c r="B24" s="8" t="inlineStr">
        <is>
          <t>Electronics</t>
        </is>
      </c>
      <c r="C24" s="8" t="n">
        <v>75</v>
      </c>
      <c r="D24" s="8" t="n">
        <v>61.97</v>
      </c>
      <c r="E24" s="8" t="n">
        <v>4647.75</v>
      </c>
    </row>
    <row r="25">
      <c r="A25" s="8" t="inlineStr">
        <is>
          <t>P024</t>
        </is>
      </c>
      <c r="B25" s="8" t="inlineStr">
        <is>
          <t>Clothing</t>
        </is>
      </c>
      <c r="C25" s="8" t="n">
        <v>86</v>
      </c>
      <c r="D25" s="8" t="n">
        <v>174.35</v>
      </c>
      <c r="E25" s="8" t="n">
        <v>14994.1</v>
      </c>
    </row>
    <row r="26">
      <c r="A26" s="8" t="inlineStr">
        <is>
          <t>P025</t>
        </is>
      </c>
      <c r="B26" s="8" t="inlineStr">
        <is>
          <t>Books</t>
        </is>
      </c>
      <c r="C26" s="8" t="n">
        <v>18</v>
      </c>
      <c r="D26" s="8" t="n">
        <v>175.18</v>
      </c>
      <c r="E26" s="8" t="n">
        <v>3153.24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SUMIFS(F2:F26,C2:C26,"Electronics")</f>
        <v/>
      </c>
      <c r="D5" s="11" t="inlineStr">
        <is>
          <t>Sum value where category = Electronics</t>
        </is>
      </c>
    </row>
    <row r="6">
      <c r="A6" s="8" t="n"/>
      <c r="B6" s="9" t="inlineStr">
        <is>
          <t>Q2</t>
        </is>
      </c>
      <c r="C6" s="10">
        <f>SUMIFS(F2:F26,C2:C26,"Clothing")</f>
        <v/>
      </c>
      <c r="D6" s="11" t="inlineStr">
        <is>
          <t>Sum value where category = Clothing</t>
        </is>
      </c>
    </row>
    <row r="7">
      <c r="A7" s="8" t="n"/>
      <c r="B7" s="9" t="inlineStr">
        <is>
          <t>Q3</t>
        </is>
      </c>
      <c r="C7" s="10">
        <f>SUMIFS(F2:F26,C2:C26,"Food")</f>
        <v/>
      </c>
      <c r="D7" s="11" t="inlineStr">
        <is>
          <t>Sum value where category = Food</t>
        </is>
      </c>
    </row>
    <row r="8">
      <c r="A8" s="8" t="n"/>
      <c r="B8" s="9" t="inlineStr">
        <is>
          <t>Q4</t>
        </is>
      </c>
      <c r="C8" s="10">
        <f>SUMIFS(F2:F26,E2:E26,"&gt;50")</f>
        <v/>
      </c>
      <c r="D8" s="11" t="inlineStr">
        <is>
          <t>Sum value where price &gt;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