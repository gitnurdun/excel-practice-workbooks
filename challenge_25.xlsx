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25 - Expense Category Analysis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Math</t>
        </is>
      </c>
    </row>
    <row r="6">
      <c r="B6" s="3" t="inlineStr">
        <is>
          <t>Skills Practiced: SUMIF, AVERAGEIF</t>
        </is>
      </c>
    </row>
    <row r="8">
      <c r="B8" s="2" t="inlineStr">
        <is>
          <t>Instructions</t>
        </is>
      </c>
    </row>
    <row r="9">
      <c r="B9" s="4" t="inlineStr">
        <is>
          <t>Use SUMIF for totals and AVERAGEIF for averages.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expenses for 'Food' category.</t>
        </is>
      </c>
    </row>
    <row r="13">
      <c r="B13" s="6" t="inlineStr">
        <is>
          <t>2. Calculate Total expenses for 'Transport' category.</t>
        </is>
      </c>
    </row>
    <row r="14">
      <c r="B14" s="6" t="inlineStr">
        <is>
          <t>3. Calculate Average expense for 'Entertainment' category.</t>
        </is>
      </c>
    </row>
    <row r="15">
      <c r="B15" s="6" t="inlineStr">
        <is>
          <t>4. Calculate Total expenses for 'Utilities' category.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</cols>
  <sheetData>
    <row r="1">
      <c r="A1" s="7" t="inlineStr">
        <is>
          <t>ID</t>
        </is>
      </c>
      <c r="B1" s="7" t="inlineStr">
        <is>
          <t>Category</t>
        </is>
      </c>
      <c r="C1" s="7" t="inlineStr">
        <is>
          <t>Amount</t>
        </is>
      </c>
    </row>
    <row r="2">
      <c r="A2" s="8" t="n">
        <v>1</v>
      </c>
      <c r="B2" s="8" t="inlineStr">
        <is>
          <t>Healthcare</t>
        </is>
      </c>
      <c r="C2" s="8" t="n">
        <v>318.43</v>
      </c>
    </row>
    <row r="3">
      <c r="A3" s="8" t="n">
        <v>2</v>
      </c>
      <c r="B3" s="8" t="inlineStr">
        <is>
          <t>Food</t>
        </is>
      </c>
      <c r="C3" s="8" t="n">
        <v>84.34999999999999</v>
      </c>
    </row>
    <row r="4">
      <c r="A4" s="8" t="n">
        <v>3</v>
      </c>
      <c r="B4" s="8" t="inlineStr">
        <is>
          <t>Healthcare</t>
        </is>
      </c>
      <c r="C4" s="8" t="n">
        <v>475.07</v>
      </c>
    </row>
    <row r="5">
      <c r="A5" s="8" t="n">
        <v>4</v>
      </c>
      <c r="B5" s="8" t="inlineStr">
        <is>
          <t>Food</t>
        </is>
      </c>
      <c r="C5" s="8" t="n">
        <v>497.02</v>
      </c>
    </row>
    <row r="6">
      <c r="A6" s="8" t="n">
        <v>5</v>
      </c>
      <c r="B6" s="8" t="inlineStr">
        <is>
          <t>Food</t>
        </is>
      </c>
      <c r="C6" s="8" t="n">
        <v>283.46</v>
      </c>
    </row>
    <row r="7">
      <c r="A7" s="8" t="n">
        <v>6</v>
      </c>
      <c r="B7" s="8" t="inlineStr">
        <is>
          <t>Utilities</t>
        </is>
      </c>
      <c r="C7" s="8" t="n">
        <v>307.1</v>
      </c>
    </row>
    <row r="8">
      <c r="A8" s="8" t="n">
        <v>7</v>
      </c>
      <c r="B8" s="8" t="inlineStr">
        <is>
          <t>Healthcare</t>
        </is>
      </c>
      <c r="C8" s="8" t="n">
        <v>120.59</v>
      </c>
    </row>
    <row r="9">
      <c r="A9" s="8" t="n">
        <v>8</v>
      </c>
      <c r="B9" s="8" t="inlineStr">
        <is>
          <t>Healthcare</t>
        </is>
      </c>
      <c r="C9" s="8" t="n">
        <v>196.39</v>
      </c>
    </row>
    <row r="10">
      <c r="A10" s="8" t="n">
        <v>9</v>
      </c>
      <c r="B10" s="8" t="inlineStr">
        <is>
          <t>Utilities</t>
        </is>
      </c>
      <c r="C10" s="8" t="n">
        <v>155.7</v>
      </c>
    </row>
    <row r="11">
      <c r="A11" s="8" t="n">
        <v>10</v>
      </c>
      <c r="B11" s="8" t="inlineStr">
        <is>
          <t>Healthcare</t>
        </is>
      </c>
      <c r="C11" s="8" t="n">
        <v>495.12</v>
      </c>
    </row>
    <row r="12">
      <c r="A12" s="8" t="n">
        <v>11</v>
      </c>
      <c r="B12" s="8" t="inlineStr">
        <is>
          <t>Entertainment</t>
        </is>
      </c>
      <c r="C12" s="8" t="n">
        <v>288.63</v>
      </c>
    </row>
    <row r="13">
      <c r="A13" s="8" t="n">
        <v>12</v>
      </c>
      <c r="B13" s="8" t="inlineStr">
        <is>
          <t>Food</t>
        </is>
      </c>
      <c r="C13" s="8" t="n">
        <v>308.72</v>
      </c>
    </row>
    <row r="14">
      <c r="A14" s="8" t="n">
        <v>13</v>
      </c>
      <c r="B14" s="8" t="inlineStr">
        <is>
          <t>Food</t>
        </is>
      </c>
      <c r="C14" s="8" t="n">
        <v>474.32</v>
      </c>
    </row>
    <row r="15">
      <c r="A15" s="8" t="n">
        <v>14</v>
      </c>
      <c r="B15" s="8" t="inlineStr">
        <is>
          <t>Transport</t>
        </is>
      </c>
      <c r="C15" s="8" t="n">
        <v>316.5</v>
      </c>
    </row>
    <row r="16">
      <c r="A16" s="8" t="n">
        <v>15</v>
      </c>
      <c r="B16" s="8" t="inlineStr">
        <is>
          <t>Entertainment</t>
        </is>
      </c>
      <c r="C16" s="8" t="n">
        <v>333.61</v>
      </c>
    </row>
    <row r="17">
      <c r="A17" s="8" t="n">
        <v>16</v>
      </c>
      <c r="B17" s="8" t="inlineStr">
        <is>
          <t>Transport</t>
        </is>
      </c>
      <c r="C17" s="8" t="n">
        <v>127.53</v>
      </c>
    </row>
    <row r="18">
      <c r="A18" s="8" t="n">
        <v>17</v>
      </c>
      <c r="B18" s="8" t="inlineStr">
        <is>
          <t>Healthcare</t>
        </is>
      </c>
      <c r="C18" s="8" t="n">
        <v>46.78</v>
      </c>
    </row>
    <row r="19">
      <c r="A19" s="8" t="n">
        <v>18</v>
      </c>
      <c r="B19" s="8" t="inlineStr">
        <is>
          <t>Food</t>
        </is>
      </c>
      <c r="C19" s="8" t="n">
        <v>210.17</v>
      </c>
    </row>
    <row r="20">
      <c r="A20" s="8" t="n">
        <v>19</v>
      </c>
      <c r="B20" s="8" t="inlineStr">
        <is>
          <t>Healthcare</t>
        </is>
      </c>
      <c r="C20" s="8" t="n">
        <v>240.26</v>
      </c>
    </row>
    <row r="21">
      <c r="A21" s="8" t="n">
        <v>20</v>
      </c>
      <c r="B21" s="8" t="inlineStr">
        <is>
          <t>Food</t>
        </is>
      </c>
      <c r="C21" s="8" t="n">
        <v>123.42</v>
      </c>
    </row>
    <row r="22">
      <c r="A22" s="8" t="n">
        <v>21</v>
      </c>
      <c r="B22" s="8" t="inlineStr">
        <is>
          <t>Entertainment</t>
        </is>
      </c>
      <c r="C22" s="8" t="n">
        <v>354.46</v>
      </c>
    </row>
    <row r="23">
      <c r="A23" s="8" t="n">
        <v>22</v>
      </c>
      <c r="B23" s="8" t="inlineStr">
        <is>
          <t>Utilities</t>
        </is>
      </c>
      <c r="C23" s="8" t="n">
        <v>44.88</v>
      </c>
    </row>
    <row r="24">
      <c r="A24" s="8" t="n">
        <v>23</v>
      </c>
      <c r="B24" s="8" t="inlineStr">
        <is>
          <t>Transport</t>
        </is>
      </c>
      <c r="C24" s="8" t="n">
        <v>462.72</v>
      </c>
    </row>
    <row r="25">
      <c r="A25" s="8" t="n">
        <v>24</v>
      </c>
      <c r="B25" s="8" t="inlineStr">
        <is>
          <t>Healthcare</t>
        </is>
      </c>
      <c r="C25" s="8" t="n">
        <v>333.98</v>
      </c>
    </row>
    <row r="26">
      <c r="A26" s="8" t="n">
        <v>25</v>
      </c>
      <c r="B26" s="8" t="inlineStr">
        <is>
          <t>Transport</t>
        </is>
      </c>
      <c r="C26" s="8" t="n">
        <v>218.32</v>
      </c>
    </row>
    <row r="27">
      <c r="A27" s="8" t="n">
        <v>26</v>
      </c>
      <c r="B27" s="8" t="inlineStr">
        <is>
          <t>Healthcare</t>
        </is>
      </c>
      <c r="C27" s="8" t="n">
        <v>120.16</v>
      </c>
    </row>
    <row r="28">
      <c r="A28" s="8" t="n">
        <v>27</v>
      </c>
      <c r="B28" s="8" t="inlineStr">
        <is>
          <t>Transport</t>
        </is>
      </c>
      <c r="C28" s="8" t="n">
        <v>455.12</v>
      </c>
    </row>
    <row r="29">
      <c r="A29" s="8" t="n">
        <v>28</v>
      </c>
      <c r="B29" s="8" t="inlineStr">
        <is>
          <t>Transport</t>
        </is>
      </c>
      <c r="C29" s="8" t="n">
        <v>44.99</v>
      </c>
    </row>
    <row r="30">
      <c r="A30" s="8" t="n">
        <v>29</v>
      </c>
      <c r="B30" s="8" t="inlineStr">
        <is>
          <t>Transport</t>
        </is>
      </c>
      <c r="C30" s="8" t="n">
        <v>398.39</v>
      </c>
    </row>
    <row r="31">
      <c r="A31" s="8" t="n">
        <v>30</v>
      </c>
      <c r="B31" s="8" t="inlineStr">
        <is>
          <t>Healthcare</t>
        </is>
      </c>
      <c r="C31" s="8" t="n">
        <v>376.99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SUMIF(B2:B31,"Food",C2:C31)</f>
        <v/>
      </c>
      <c r="D5" s="11" t="inlineStr">
        <is>
          <t>Total food expenses</t>
        </is>
      </c>
    </row>
    <row r="6">
      <c r="A6" s="8" t="n"/>
      <c r="B6" s="9" t="inlineStr">
        <is>
          <t>Q2</t>
        </is>
      </c>
      <c r="C6" s="10">
        <f>SUMIF(B2:B31,"Transport",C2:C31)</f>
        <v/>
      </c>
      <c r="D6" s="11" t="inlineStr">
        <is>
          <t>Total transport expenses</t>
        </is>
      </c>
    </row>
    <row r="7">
      <c r="A7" s="8" t="n"/>
      <c r="B7" s="9" t="inlineStr">
        <is>
          <t>Q3</t>
        </is>
      </c>
      <c r="C7" s="10">
        <f>AVERAGEIF(B2:B31,"Entertainment",C2:C31)</f>
        <v/>
      </c>
      <c r="D7" s="11" t="inlineStr">
        <is>
          <t>Average entertainment expense</t>
        </is>
      </c>
    </row>
    <row r="8">
      <c r="A8" s="8" t="n"/>
      <c r="B8" s="9" t="inlineStr">
        <is>
          <t>Q4</t>
        </is>
      </c>
      <c r="C8" s="10">
        <f>SUMIF(B2:B31,"Utilities",C2:C31)</f>
        <v/>
      </c>
      <c r="D8" s="11" t="inlineStr">
        <is>
          <t>Total utilities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