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44 - Complex SUMIFS</t>
        </is>
      </c>
    </row>
    <row r="4">
      <c r="B4" s="2" t="inlineStr">
        <is>
          <t>Difficulty: Advanced</t>
        </is>
      </c>
    </row>
    <row r="5">
      <c r="B5" s="3" t="inlineStr">
        <is>
          <t>Category: Conditional Sum</t>
        </is>
      </c>
    </row>
    <row r="6">
      <c r="B6" s="3" t="inlineStr">
        <is>
          <t>Skills Practiced: SUMIFS (multiple criteria)</t>
        </is>
      </c>
    </row>
    <row r="8">
      <c r="B8" s="2" t="inlineStr">
        <is>
          <t>Instructions</t>
        </is>
      </c>
    </row>
    <row r="9">
      <c r="B9" s="4" t="inlineStr">
        <is>
          <t>Use SUMIFS with 2-3 criteria ranges and criteria.</t>
        </is>
      </c>
    </row>
    <row r="11">
      <c r="B11" s="2" t="inlineStr">
        <is>
          <t>Questions to Solve</t>
        </is>
      </c>
    </row>
    <row r="12">
      <c r="B12" s="5" t="inlineStr">
        <is>
          <t>1. Sum Sales where Region='North' AND Product='Widget' AND Month='Jan'.</t>
        </is>
      </c>
    </row>
    <row r="13">
      <c r="B13" s="6" t="inlineStr">
        <is>
          <t>2. Sum Sales where Region='South' AND Qty &gt; 50.</t>
        </is>
      </c>
    </row>
    <row r="14">
      <c r="B14" s="6" t="inlineStr">
        <is>
          <t>3. Sum Sales where Product='Gadget' AND Month='Feb'.</t>
        </is>
      </c>
    </row>
    <row r="15">
      <c r="B15" s="6" t="inlineStr">
        <is>
          <t>4. Sum Sales where Qty &gt; 100 AND Price &gt; 50.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8" customWidth="1" min="5" max="5"/>
    <col width="10" customWidth="1" min="6" max="6"/>
    <col width="10" customWidth="1" min="7" max="7"/>
  </cols>
  <sheetData>
    <row r="1">
      <c r="A1" s="7" t="inlineStr">
        <is>
          <t>ID</t>
        </is>
      </c>
      <c r="B1" s="7" t="inlineStr">
        <is>
          <t>Region</t>
        </is>
      </c>
      <c r="C1" s="7" t="inlineStr">
        <is>
          <t>Product</t>
        </is>
      </c>
      <c r="D1" s="7" t="inlineStr">
        <is>
          <t>Month</t>
        </is>
      </c>
      <c r="E1" s="7" t="inlineStr">
        <is>
          <t>Qty</t>
        </is>
      </c>
      <c r="F1" s="7" t="inlineStr">
        <is>
          <t>Price</t>
        </is>
      </c>
      <c r="G1" s="7" t="inlineStr">
        <is>
          <t>Sales</t>
        </is>
      </c>
    </row>
    <row r="2">
      <c r="A2" s="8" t="n">
        <v>1</v>
      </c>
      <c r="B2" s="8" t="inlineStr">
        <is>
          <t>South</t>
        </is>
      </c>
      <c r="C2" s="8" t="inlineStr">
        <is>
          <t>Widget</t>
        </is>
      </c>
      <c r="D2" s="8" t="inlineStr">
        <is>
          <t>Feb</t>
        </is>
      </c>
      <c r="E2" s="8" t="n">
        <v>47</v>
      </c>
      <c r="F2" s="8" t="n">
        <v>80.98</v>
      </c>
      <c r="G2" s="8" t="n">
        <v>3020.31</v>
      </c>
    </row>
    <row r="3">
      <c r="A3" s="8" t="n">
        <v>2</v>
      </c>
      <c r="B3" s="8" t="inlineStr">
        <is>
          <t>East</t>
        </is>
      </c>
      <c r="C3" s="8" t="inlineStr">
        <is>
          <t>Widget</t>
        </is>
      </c>
      <c r="D3" s="8" t="inlineStr">
        <is>
          <t>Jan</t>
        </is>
      </c>
      <c r="E3" s="8" t="n">
        <v>148</v>
      </c>
      <c r="F3" s="8" t="n">
        <v>32.56</v>
      </c>
      <c r="G3" s="8" t="n">
        <v>955.04</v>
      </c>
    </row>
    <row r="4">
      <c r="A4" s="8" t="n">
        <v>3</v>
      </c>
      <c r="B4" s="8" t="inlineStr">
        <is>
          <t>North</t>
        </is>
      </c>
      <c r="C4" s="8" t="inlineStr">
        <is>
          <t>Widget</t>
        </is>
      </c>
      <c r="D4" s="8" t="inlineStr">
        <is>
          <t>Jan</t>
        </is>
      </c>
      <c r="E4" s="8" t="n">
        <v>101</v>
      </c>
      <c r="F4" s="8" t="n">
        <v>81.09999999999999</v>
      </c>
      <c r="G4" s="8" t="n">
        <v>1265.86</v>
      </c>
    </row>
    <row r="5">
      <c r="A5" s="8" t="n">
        <v>4</v>
      </c>
      <c r="B5" s="8" t="inlineStr">
        <is>
          <t>East</t>
        </is>
      </c>
      <c r="C5" s="8" t="inlineStr">
        <is>
          <t>Widget</t>
        </is>
      </c>
      <c r="D5" s="8" t="inlineStr">
        <is>
          <t>Jan</t>
        </is>
      </c>
      <c r="E5" s="8" t="n">
        <v>77</v>
      </c>
      <c r="F5" s="8" t="n">
        <v>14.72</v>
      </c>
      <c r="G5" s="8" t="n">
        <v>3734.42</v>
      </c>
    </row>
    <row r="6">
      <c r="A6" s="8" t="n">
        <v>5</v>
      </c>
      <c r="B6" s="8" t="inlineStr">
        <is>
          <t>North</t>
        </is>
      </c>
      <c r="C6" s="8" t="inlineStr">
        <is>
          <t>Gizmo</t>
        </is>
      </c>
      <c r="D6" s="8" t="inlineStr">
        <is>
          <t>Jan</t>
        </is>
      </c>
      <c r="E6" s="8" t="n">
        <v>131</v>
      </c>
      <c r="F6" s="8" t="n">
        <v>50.34</v>
      </c>
      <c r="G6" s="8" t="n">
        <v>1873.99</v>
      </c>
    </row>
    <row r="7">
      <c r="A7" s="8" t="n">
        <v>6</v>
      </c>
      <c r="B7" s="8" t="inlineStr">
        <is>
          <t>North</t>
        </is>
      </c>
      <c r="C7" s="8" t="inlineStr">
        <is>
          <t>Gadget</t>
        </is>
      </c>
      <c r="D7" s="8" t="inlineStr">
        <is>
          <t>Mar</t>
        </is>
      </c>
      <c r="E7" s="8" t="n">
        <v>66</v>
      </c>
      <c r="F7" s="8" t="n">
        <v>95.09</v>
      </c>
      <c r="G7" s="8" t="n">
        <v>312.49</v>
      </c>
    </row>
    <row r="8">
      <c r="A8" s="8" t="n">
        <v>7</v>
      </c>
      <c r="B8" s="8" t="inlineStr">
        <is>
          <t>East</t>
        </is>
      </c>
      <c r="C8" s="8" t="inlineStr">
        <is>
          <t>Gadget</t>
        </is>
      </c>
      <c r="D8" s="8" t="inlineStr">
        <is>
          <t>Mar</t>
        </is>
      </c>
      <c r="E8" s="8" t="n">
        <v>17</v>
      </c>
      <c r="F8" s="8" t="n">
        <v>15.47</v>
      </c>
      <c r="G8" s="8" t="n">
        <v>2447.01</v>
      </c>
    </row>
    <row r="9">
      <c r="A9" s="8" t="n">
        <v>8</v>
      </c>
      <c r="B9" s="8" t="inlineStr">
        <is>
          <t>West</t>
        </is>
      </c>
      <c r="C9" s="8" t="inlineStr">
        <is>
          <t>Gadget</t>
        </is>
      </c>
      <c r="D9" s="8" t="inlineStr">
        <is>
          <t>Mar</t>
        </is>
      </c>
      <c r="E9" s="8" t="n">
        <v>37</v>
      </c>
      <c r="F9" s="8" t="n">
        <v>54.12</v>
      </c>
      <c r="G9" s="8" t="n">
        <v>4557.53</v>
      </c>
    </row>
    <row r="10">
      <c r="A10" s="8" t="n">
        <v>9</v>
      </c>
      <c r="B10" s="8" t="inlineStr">
        <is>
          <t>North</t>
        </is>
      </c>
      <c r="C10" s="8" t="inlineStr">
        <is>
          <t>Widget</t>
        </is>
      </c>
      <c r="D10" s="8" t="inlineStr">
        <is>
          <t>Feb</t>
        </is>
      </c>
      <c r="E10" s="8" t="n">
        <v>165</v>
      </c>
      <c r="F10" s="8" t="n">
        <v>23.35</v>
      </c>
      <c r="G10" s="8" t="n">
        <v>718.34</v>
      </c>
    </row>
    <row r="11">
      <c r="A11" s="8" t="n">
        <v>10</v>
      </c>
      <c r="B11" s="8" t="inlineStr">
        <is>
          <t>East</t>
        </is>
      </c>
      <c r="C11" s="8" t="inlineStr">
        <is>
          <t>Gadget</t>
        </is>
      </c>
      <c r="D11" s="8" t="inlineStr">
        <is>
          <t>Mar</t>
        </is>
      </c>
      <c r="E11" s="8" t="n">
        <v>145</v>
      </c>
      <c r="F11" s="8" t="n">
        <v>36.54</v>
      </c>
      <c r="G11" s="8" t="n">
        <v>2577.2</v>
      </c>
    </row>
    <row r="12">
      <c r="A12" s="8" t="n">
        <v>11</v>
      </c>
      <c r="B12" s="8" t="inlineStr">
        <is>
          <t>West</t>
        </is>
      </c>
      <c r="C12" s="8" t="inlineStr">
        <is>
          <t>Widget</t>
        </is>
      </c>
      <c r="D12" s="8" t="inlineStr">
        <is>
          <t>Mar</t>
        </is>
      </c>
      <c r="E12" s="8" t="n">
        <v>39</v>
      </c>
      <c r="F12" s="8" t="n">
        <v>86.75</v>
      </c>
      <c r="G12" s="8" t="n">
        <v>3289.49</v>
      </c>
    </row>
    <row r="13">
      <c r="A13" s="8" t="n">
        <v>12</v>
      </c>
      <c r="B13" s="8" t="inlineStr">
        <is>
          <t>South</t>
        </is>
      </c>
      <c r="C13" s="8" t="inlineStr">
        <is>
          <t>Gadget</t>
        </is>
      </c>
      <c r="D13" s="8" t="inlineStr">
        <is>
          <t>Feb</t>
        </is>
      </c>
      <c r="E13" s="8" t="n">
        <v>68</v>
      </c>
      <c r="F13" s="8" t="n">
        <v>47.24</v>
      </c>
      <c r="G13" s="8" t="n">
        <v>4154.35</v>
      </c>
    </row>
    <row r="14">
      <c r="A14" s="8" t="n">
        <v>13</v>
      </c>
      <c r="B14" s="8" t="inlineStr">
        <is>
          <t>West</t>
        </is>
      </c>
      <c r="C14" s="8" t="inlineStr">
        <is>
          <t>Gadget</t>
        </is>
      </c>
      <c r="D14" s="8" t="inlineStr">
        <is>
          <t>Mar</t>
        </is>
      </c>
      <c r="E14" s="8" t="n">
        <v>34</v>
      </c>
      <c r="F14" s="8" t="n">
        <v>38.13</v>
      </c>
      <c r="G14" s="8" t="n">
        <v>1631.37</v>
      </c>
    </row>
    <row r="15">
      <c r="A15" s="8" t="n">
        <v>14</v>
      </c>
      <c r="B15" s="8" t="inlineStr">
        <is>
          <t>East</t>
        </is>
      </c>
      <c r="C15" s="8" t="inlineStr">
        <is>
          <t>Gadget</t>
        </is>
      </c>
      <c r="D15" s="8" t="inlineStr">
        <is>
          <t>Jan</t>
        </is>
      </c>
      <c r="E15" s="8" t="n">
        <v>185</v>
      </c>
      <c r="F15" s="8" t="n">
        <v>93.06999999999999</v>
      </c>
      <c r="G15" s="8" t="n">
        <v>428.95</v>
      </c>
    </row>
    <row r="16">
      <c r="A16" s="8" t="n">
        <v>15</v>
      </c>
      <c r="B16" s="8" t="inlineStr">
        <is>
          <t>North</t>
        </is>
      </c>
      <c r="C16" s="8" t="inlineStr">
        <is>
          <t>Widget</t>
        </is>
      </c>
      <c r="D16" s="8" t="inlineStr">
        <is>
          <t>Feb</t>
        </is>
      </c>
      <c r="E16" s="8" t="n">
        <v>34</v>
      </c>
      <c r="F16" s="8" t="n">
        <v>77.01000000000001</v>
      </c>
      <c r="G16" s="8" t="n">
        <v>1925.97</v>
      </c>
    </row>
    <row r="17">
      <c r="A17" s="8" t="n">
        <v>16</v>
      </c>
      <c r="B17" s="8" t="inlineStr">
        <is>
          <t>South</t>
        </is>
      </c>
      <c r="C17" s="8" t="inlineStr">
        <is>
          <t>Gizmo</t>
        </is>
      </c>
      <c r="D17" s="8" t="inlineStr">
        <is>
          <t>Jan</t>
        </is>
      </c>
      <c r="E17" s="8" t="n">
        <v>160</v>
      </c>
      <c r="F17" s="8" t="n">
        <v>96.09999999999999</v>
      </c>
      <c r="G17" s="8" t="n">
        <v>2852.25</v>
      </c>
    </row>
    <row r="18">
      <c r="A18" s="8" t="n">
        <v>17</v>
      </c>
      <c r="B18" s="8" t="inlineStr">
        <is>
          <t>North</t>
        </is>
      </c>
      <c r="C18" s="8" t="inlineStr">
        <is>
          <t>Gadget</t>
        </is>
      </c>
      <c r="D18" s="8" t="inlineStr">
        <is>
          <t>Feb</t>
        </is>
      </c>
      <c r="E18" s="8" t="n">
        <v>180</v>
      </c>
      <c r="F18" s="8" t="n">
        <v>94.7</v>
      </c>
      <c r="G18" s="8" t="n">
        <v>2172.39</v>
      </c>
    </row>
    <row r="19">
      <c r="A19" s="8" t="n">
        <v>18</v>
      </c>
      <c r="B19" s="8" t="inlineStr">
        <is>
          <t>North</t>
        </is>
      </c>
      <c r="C19" s="8" t="inlineStr">
        <is>
          <t>Gadget</t>
        </is>
      </c>
      <c r="D19" s="8" t="inlineStr">
        <is>
          <t>Mar</t>
        </is>
      </c>
      <c r="E19" s="8" t="n">
        <v>89</v>
      </c>
      <c r="F19" s="8" t="n">
        <v>41.65</v>
      </c>
      <c r="G19" s="8" t="n">
        <v>2931.8</v>
      </c>
    </row>
    <row r="20">
      <c r="A20" s="8" t="n">
        <v>19</v>
      </c>
      <c r="B20" s="8" t="inlineStr">
        <is>
          <t>South</t>
        </is>
      </c>
      <c r="C20" s="8" t="inlineStr">
        <is>
          <t>Widget</t>
        </is>
      </c>
      <c r="D20" s="8" t="inlineStr">
        <is>
          <t>Mar</t>
        </is>
      </c>
      <c r="E20" s="8" t="n">
        <v>133</v>
      </c>
      <c r="F20" s="8" t="n">
        <v>30.18</v>
      </c>
      <c r="G20" s="8" t="n">
        <v>630.27</v>
      </c>
    </row>
    <row r="21">
      <c r="A21" s="8" t="n">
        <v>20</v>
      </c>
      <c r="B21" s="8" t="inlineStr">
        <is>
          <t>East</t>
        </is>
      </c>
      <c r="C21" s="8" t="inlineStr">
        <is>
          <t>Widget</t>
        </is>
      </c>
      <c r="D21" s="8" t="inlineStr">
        <is>
          <t>Feb</t>
        </is>
      </c>
      <c r="E21" s="8" t="n">
        <v>156</v>
      </c>
      <c r="F21" s="8" t="n">
        <v>30.35</v>
      </c>
      <c r="G21" s="8" t="n">
        <v>2202.65</v>
      </c>
    </row>
    <row r="22">
      <c r="A22" s="8" t="n">
        <v>21</v>
      </c>
      <c r="B22" s="8" t="inlineStr">
        <is>
          <t>North</t>
        </is>
      </c>
      <c r="C22" s="8" t="inlineStr">
        <is>
          <t>Gizmo</t>
        </is>
      </c>
      <c r="D22" s="8" t="inlineStr">
        <is>
          <t>Mar</t>
        </is>
      </c>
      <c r="E22" s="8" t="n">
        <v>187</v>
      </c>
      <c r="F22" s="8" t="n">
        <v>34.07</v>
      </c>
      <c r="G22" s="8" t="n">
        <v>984.04</v>
      </c>
    </row>
    <row r="23">
      <c r="A23" s="8" t="n">
        <v>22</v>
      </c>
      <c r="B23" s="8" t="inlineStr">
        <is>
          <t>East</t>
        </is>
      </c>
      <c r="C23" s="8" t="inlineStr">
        <is>
          <t>Gadget</t>
        </is>
      </c>
      <c r="D23" s="8" t="inlineStr">
        <is>
          <t>Feb</t>
        </is>
      </c>
      <c r="E23" s="8" t="n">
        <v>11</v>
      </c>
      <c r="F23" s="8" t="n">
        <v>26.33</v>
      </c>
      <c r="G23" s="8" t="n">
        <v>801.9299999999999</v>
      </c>
    </row>
    <row r="24">
      <c r="A24" s="8" t="n">
        <v>23</v>
      </c>
      <c r="B24" s="8" t="inlineStr">
        <is>
          <t>West</t>
        </is>
      </c>
      <c r="C24" s="8" t="inlineStr">
        <is>
          <t>Widget</t>
        </is>
      </c>
      <c r="D24" s="8" t="inlineStr">
        <is>
          <t>Jan</t>
        </is>
      </c>
      <c r="E24" s="8" t="n">
        <v>199</v>
      </c>
      <c r="F24" s="8" t="n">
        <v>66.98999999999999</v>
      </c>
      <c r="G24" s="8" t="n">
        <v>250.22</v>
      </c>
    </row>
    <row r="25">
      <c r="A25" s="8" t="n">
        <v>24</v>
      </c>
      <c r="B25" s="8" t="inlineStr">
        <is>
          <t>South</t>
        </is>
      </c>
      <c r="C25" s="8" t="inlineStr">
        <is>
          <t>Gadget</t>
        </is>
      </c>
      <c r="D25" s="8" t="inlineStr">
        <is>
          <t>Feb</t>
        </is>
      </c>
      <c r="E25" s="8" t="n">
        <v>126</v>
      </c>
      <c r="F25" s="8" t="n">
        <v>40.68</v>
      </c>
      <c r="G25" s="8" t="n">
        <v>1913.26</v>
      </c>
    </row>
    <row r="26">
      <c r="A26" s="8" t="n">
        <v>25</v>
      </c>
      <c r="B26" s="8" t="inlineStr">
        <is>
          <t>East</t>
        </is>
      </c>
      <c r="C26" s="8" t="inlineStr">
        <is>
          <t>Gizmo</t>
        </is>
      </c>
      <c r="D26" s="8" t="inlineStr">
        <is>
          <t>Mar</t>
        </is>
      </c>
      <c r="E26" s="8" t="n">
        <v>31</v>
      </c>
      <c r="F26" s="8" t="n">
        <v>89.5</v>
      </c>
      <c r="G26" s="8" t="n">
        <v>862.34</v>
      </c>
    </row>
    <row r="27">
      <c r="A27" s="8" t="n">
        <v>26</v>
      </c>
      <c r="B27" s="8" t="inlineStr">
        <is>
          <t>North</t>
        </is>
      </c>
      <c r="C27" s="8" t="inlineStr">
        <is>
          <t>Gizmo</t>
        </is>
      </c>
      <c r="D27" s="8" t="inlineStr">
        <is>
          <t>Jan</t>
        </is>
      </c>
      <c r="E27" s="8" t="n">
        <v>79</v>
      </c>
      <c r="F27" s="8" t="n">
        <v>49.88</v>
      </c>
      <c r="G27" s="8" t="n">
        <v>2177.67</v>
      </c>
    </row>
    <row r="28">
      <c r="A28" s="8" t="n">
        <v>27</v>
      </c>
      <c r="B28" s="8" t="inlineStr">
        <is>
          <t>West</t>
        </is>
      </c>
      <c r="C28" s="8" t="inlineStr">
        <is>
          <t>Gadget</t>
        </is>
      </c>
      <c r="D28" s="8" t="inlineStr">
        <is>
          <t>Feb</t>
        </is>
      </c>
      <c r="E28" s="8" t="n">
        <v>65</v>
      </c>
      <c r="F28" s="8" t="n">
        <v>77.94</v>
      </c>
      <c r="G28" s="8" t="n">
        <v>657.71</v>
      </c>
    </row>
    <row r="29">
      <c r="A29" s="8" t="n">
        <v>28</v>
      </c>
      <c r="B29" s="8" t="inlineStr">
        <is>
          <t>West</t>
        </is>
      </c>
      <c r="C29" s="8" t="inlineStr">
        <is>
          <t>Widget</t>
        </is>
      </c>
      <c r="D29" s="8" t="inlineStr">
        <is>
          <t>Feb</t>
        </is>
      </c>
      <c r="E29" s="8" t="n">
        <v>183</v>
      </c>
      <c r="F29" s="8" t="n">
        <v>71.06</v>
      </c>
      <c r="G29" s="8" t="n">
        <v>2484.5</v>
      </c>
    </row>
    <row r="30">
      <c r="A30" s="8" t="n">
        <v>29</v>
      </c>
      <c r="B30" s="8" t="inlineStr">
        <is>
          <t>East</t>
        </is>
      </c>
      <c r="C30" s="8" t="inlineStr">
        <is>
          <t>Widget</t>
        </is>
      </c>
      <c r="D30" s="8" t="inlineStr">
        <is>
          <t>Jan</t>
        </is>
      </c>
      <c r="E30" s="8" t="n">
        <v>111</v>
      </c>
      <c r="F30" s="8" t="n">
        <v>98.59999999999999</v>
      </c>
      <c r="G30" s="8" t="n">
        <v>368.43</v>
      </c>
    </row>
    <row r="31">
      <c r="A31" s="8" t="n">
        <v>30</v>
      </c>
      <c r="B31" s="8" t="inlineStr">
        <is>
          <t>South</t>
        </is>
      </c>
      <c r="C31" s="8" t="inlineStr">
        <is>
          <t>Gadget</t>
        </is>
      </c>
      <c r="D31" s="8" t="inlineStr">
        <is>
          <t>Jan</t>
        </is>
      </c>
      <c r="E31" s="8" t="n">
        <v>45</v>
      </c>
      <c r="F31" s="8" t="n">
        <v>78.77</v>
      </c>
      <c r="G31" s="8" t="n">
        <v>1518.29</v>
      </c>
    </row>
    <row r="32">
      <c r="A32" s="8" t="n">
        <v>31</v>
      </c>
      <c r="B32" s="8" t="inlineStr">
        <is>
          <t>North</t>
        </is>
      </c>
      <c r="C32" s="8" t="inlineStr">
        <is>
          <t>Widget</t>
        </is>
      </c>
      <c r="D32" s="8" t="inlineStr">
        <is>
          <t>Feb</t>
        </is>
      </c>
      <c r="E32" s="8" t="n">
        <v>120</v>
      </c>
      <c r="F32" s="8" t="n">
        <v>25.81</v>
      </c>
      <c r="G32" s="8" t="n">
        <v>1963.02</v>
      </c>
    </row>
    <row r="33">
      <c r="A33" s="8" t="n">
        <v>32</v>
      </c>
      <c r="B33" s="8" t="inlineStr">
        <is>
          <t>South</t>
        </is>
      </c>
      <c r="C33" s="8" t="inlineStr">
        <is>
          <t>Gizmo</t>
        </is>
      </c>
      <c r="D33" s="8" t="inlineStr">
        <is>
          <t>Mar</t>
        </is>
      </c>
      <c r="E33" s="8" t="n">
        <v>181</v>
      </c>
      <c r="F33" s="8" t="n">
        <v>82.56</v>
      </c>
      <c r="G33" s="8" t="n">
        <v>453.17</v>
      </c>
    </row>
    <row r="34">
      <c r="A34" s="8" t="n">
        <v>33</v>
      </c>
      <c r="B34" s="8" t="inlineStr">
        <is>
          <t>North</t>
        </is>
      </c>
      <c r="C34" s="8" t="inlineStr">
        <is>
          <t>Gadget</t>
        </is>
      </c>
      <c r="D34" s="8" t="inlineStr">
        <is>
          <t>Jan</t>
        </is>
      </c>
      <c r="E34" s="8" t="n">
        <v>127</v>
      </c>
      <c r="F34" s="8" t="n">
        <v>92.90000000000001</v>
      </c>
      <c r="G34" s="8" t="n">
        <v>4324.34</v>
      </c>
    </row>
    <row r="35">
      <c r="A35" s="8" t="n">
        <v>34</v>
      </c>
      <c r="B35" s="8" t="inlineStr">
        <is>
          <t>West</t>
        </is>
      </c>
      <c r="C35" s="8" t="inlineStr">
        <is>
          <t>Gizmo</t>
        </is>
      </c>
      <c r="D35" s="8" t="inlineStr">
        <is>
          <t>Feb</t>
        </is>
      </c>
      <c r="E35" s="8" t="n">
        <v>191</v>
      </c>
      <c r="F35" s="8" t="n">
        <v>67.61</v>
      </c>
      <c r="G35" s="8" t="n">
        <v>1518.62</v>
      </c>
    </row>
    <row r="36">
      <c r="A36" s="8" t="n">
        <v>35</v>
      </c>
      <c r="B36" s="8" t="inlineStr">
        <is>
          <t>West</t>
        </is>
      </c>
      <c r="C36" s="8" t="inlineStr">
        <is>
          <t>Widget</t>
        </is>
      </c>
      <c r="D36" s="8" t="inlineStr">
        <is>
          <t>Feb</t>
        </is>
      </c>
      <c r="E36" s="8" t="n">
        <v>53</v>
      </c>
      <c r="F36" s="8" t="n">
        <v>82.12</v>
      </c>
      <c r="G36" s="8" t="n">
        <v>3128.81</v>
      </c>
    </row>
    <row r="37">
      <c r="A37" s="8" t="n">
        <v>36</v>
      </c>
      <c r="B37" s="8" t="inlineStr">
        <is>
          <t>East</t>
        </is>
      </c>
      <c r="C37" s="8" t="inlineStr">
        <is>
          <t>Widget</t>
        </is>
      </c>
      <c r="D37" s="8" t="inlineStr">
        <is>
          <t>Feb</t>
        </is>
      </c>
      <c r="E37" s="8" t="n">
        <v>37</v>
      </c>
      <c r="F37" s="8" t="n">
        <v>31.9</v>
      </c>
      <c r="G37" s="8" t="n">
        <v>2985.47</v>
      </c>
    </row>
    <row r="38">
      <c r="A38" s="8" t="n">
        <v>37</v>
      </c>
      <c r="B38" s="8" t="inlineStr">
        <is>
          <t>North</t>
        </is>
      </c>
      <c r="C38" s="8" t="inlineStr">
        <is>
          <t>Gadget</t>
        </is>
      </c>
      <c r="D38" s="8" t="inlineStr">
        <is>
          <t>Feb</t>
        </is>
      </c>
      <c r="E38" s="8" t="n">
        <v>200</v>
      </c>
      <c r="F38" s="8" t="n">
        <v>40.56</v>
      </c>
      <c r="G38" s="8" t="n">
        <v>1732.04</v>
      </c>
    </row>
    <row r="39">
      <c r="A39" s="8" t="n">
        <v>38</v>
      </c>
      <c r="B39" s="8" t="inlineStr">
        <is>
          <t>South</t>
        </is>
      </c>
      <c r="C39" s="8" t="inlineStr">
        <is>
          <t>Widget</t>
        </is>
      </c>
      <c r="D39" s="8" t="inlineStr">
        <is>
          <t>Mar</t>
        </is>
      </c>
      <c r="E39" s="8" t="n">
        <v>172</v>
      </c>
      <c r="F39" s="8" t="n">
        <v>20.26</v>
      </c>
      <c r="G39" s="8" t="n">
        <v>2598.77</v>
      </c>
    </row>
    <row r="40">
      <c r="A40" s="8" t="n">
        <v>39</v>
      </c>
      <c r="B40" s="8" t="inlineStr">
        <is>
          <t>East</t>
        </is>
      </c>
      <c r="C40" s="8" t="inlineStr">
        <is>
          <t>Gadget</t>
        </is>
      </c>
      <c r="D40" s="8" t="inlineStr">
        <is>
          <t>Mar</t>
        </is>
      </c>
      <c r="E40" s="8" t="n">
        <v>175</v>
      </c>
      <c r="F40" s="8" t="n">
        <v>83.34999999999999</v>
      </c>
      <c r="G40" s="8" t="n">
        <v>1257.72</v>
      </c>
    </row>
    <row r="41">
      <c r="A41" s="8" t="n">
        <v>40</v>
      </c>
      <c r="B41" s="8" t="inlineStr">
        <is>
          <t>South</t>
        </is>
      </c>
      <c r="C41" s="8" t="inlineStr">
        <is>
          <t>Gadget</t>
        </is>
      </c>
      <c r="D41" s="8" t="inlineStr">
        <is>
          <t>Jan</t>
        </is>
      </c>
      <c r="E41" s="8" t="n">
        <v>54</v>
      </c>
      <c r="F41" s="8" t="n">
        <v>64.22</v>
      </c>
      <c r="G41" s="8" t="n">
        <v>3825.05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SUMIFS(G2:G41,B2:B41,"North",C2:C41,"Widget",D2:D41,"Jan")</f>
        <v/>
      </c>
      <c r="D5" s="11" t="inlineStr">
        <is>
          <t>3-criteria SUMIFS</t>
        </is>
      </c>
    </row>
    <row r="6">
      <c r="A6" s="8" t="n"/>
      <c r="B6" s="9" t="inlineStr">
        <is>
          <t>Q2</t>
        </is>
      </c>
      <c r="C6" s="10">
        <f>SUMIFS(G2:G41,B2:B41,"South",E2:E41,"&gt;50")</f>
        <v/>
      </c>
      <c r="D6" s="11" t="inlineStr">
        <is>
          <t>Region + Qty criteria</t>
        </is>
      </c>
    </row>
    <row r="7">
      <c r="A7" s="8" t="n"/>
      <c r="B7" s="9" t="inlineStr">
        <is>
          <t>Q3</t>
        </is>
      </c>
      <c r="C7" s="10">
        <f>SUMIFS(G2:G41,C2:C41,"Gadget",D2:D41,"Feb")</f>
        <v/>
      </c>
      <c r="D7" s="11" t="inlineStr">
        <is>
          <t>Product + Month criteria</t>
        </is>
      </c>
    </row>
    <row r="8">
      <c r="A8" s="8" t="n"/>
      <c r="B8" s="9" t="inlineStr">
        <is>
          <t>Q4</t>
        </is>
      </c>
      <c r="C8" s="10">
        <f>SUMIFS(G2:G41,E2:E41,"&gt;100",F2:F41,"&gt;50")</f>
        <v/>
      </c>
      <c r="D8" s="11" t="inlineStr">
        <is>
          <t>Qty + Price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