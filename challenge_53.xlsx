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53 - Advanced SUMPRODUCT</t>
        </is>
      </c>
    </row>
    <row r="4">
      <c r="B4" s="2" t="inlineStr">
        <is>
          <t>Difficulty: Expert</t>
        </is>
      </c>
    </row>
    <row r="5">
      <c r="B5" s="3" t="inlineStr">
        <is>
          <t>Category: Array Calculations</t>
        </is>
      </c>
    </row>
    <row r="6">
      <c r="B6" s="3" t="inlineStr">
        <is>
          <t>Skills Practiced: SUMPRODUCT (multi-condition)</t>
        </is>
      </c>
    </row>
    <row r="8">
      <c r="B8" s="2" t="inlineStr">
        <is>
          <t>Instructions</t>
        </is>
      </c>
    </row>
    <row r="9">
      <c r="B9" s="4" t="inlineStr">
        <is>
          <t>SUMPRODUCT can handle multiple conditions without array entry.</t>
        </is>
      </c>
    </row>
    <row r="11">
      <c r="B11" s="2" t="inlineStr">
        <is>
          <t>Questions to Solve</t>
        </is>
      </c>
    </row>
    <row r="12">
      <c r="B12" s="5" t="inlineStr">
        <is>
          <t>1. Sum Sales where Region='North' AND Product='Widget' (SUMPRODUCT).</t>
        </is>
      </c>
    </row>
    <row r="13">
      <c r="B13" s="6" t="inlineStr">
        <is>
          <t>2. Sum Sales where Qty &gt; 50 AND Price &lt; 50 (SUMPRODUCT).</t>
        </is>
      </c>
    </row>
    <row r="14">
      <c r="B14" s="6" t="inlineStr">
        <is>
          <t>3. Count rows where Region='South' AND Sales &gt; 1000 (SUMPRODUCT count).</t>
        </is>
      </c>
    </row>
    <row r="15">
      <c r="B15" s="6" t="inlineStr">
        <is>
          <t>4. Calculate average Sale amount for East region (SUMPRODUCT / COUNT).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</cols>
  <sheetData>
    <row r="1">
      <c r="A1" s="7" t="inlineStr">
        <is>
          <t>ID</t>
        </is>
      </c>
      <c r="B1" s="7" t="inlineStr">
        <is>
          <t>Region</t>
        </is>
      </c>
      <c r="C1" s="7" t="inlineStr">
        <is>
          <t>Product</t>
        </is>
      </c>
      <c r="D1" s="7" t="inlineStr">
        <is>
          <t>Qty</t>
        </is>
      </c>
      <c r="E1" s="7" t="inlineStr">
        <is>
          <t>Price</t>
        </is>
      </c>
      <c r="F1" s="7" t="inlineStr">
        <is>
          <t>Sales</t>
        </is>
      </c>
    </row>
    <row r="2">
      <c r="A2" s="8" t="n">
        <v>1</v>
      </c>
      <c r="B2" s="8" t="inlineStr">
        <is>
          <t>West</t>
        </is>
      </c>
      <c r="C2" s="8" t="inlineStr">
        <is>
          <t>Widget</t>
        </is>
      </c>
      <c r="D2" s="8" t="n">
        <v>35</v>
      </c>
      <c r="E2" s="8" t="n">
        <v>82.11</v>
      </c>
      <c r="F2" s="8" t="n">
        <v>778.15</v>
      </c>
    </row>
    <row r="3">
      <c r="A3" s="8" t="n">
        <v>2</v>
      </c>
      <c r="B3" s="8" t="inlineStr">
        <is>
          <t>East</t>
        </is>
      </c>
      <c r="C3" s="8" t="inlineStr">
        <is>
          <t>Widget</t>
        </is>
      </c>
      <c r="D3" s="8" t="n">
        <v>92</v>
      </c>
      <c r="E3" s="8" t="n">
        <v>53.25</v>
      </c>
      <c r="F3" s="8" t="n">
        <v>1918.94</v>
      </c>
    </row>
    <row r="4">
      <c r="A4" s="8" t="n">
        <v>3</v>
      </c>
      <c r="B4" s="8" t="inlineStr">
        <is>
          <t>North</t>
        </is>
      </c>
      <c r="C4" s="8" t="inlineStr">
        <is>
          <t>Gizmo</t>
        </is>
      </c>
      <c r="D4" s="8" t="n">
        <v>76</v>
      </c>
      <c r="E4" s="8" t="n">
        <v>86.59999999999999</v>
      </c>
      <c r="F4" s="8" t="n">
        <v>1496.81</v>
      </c>
    </row>
    <row r="5">
      <c r="A5" s="8" t="n">
        <v>4</v>
      </c>
      <c r="B5" s="8" t="inlineStr">
        <is>
          <t>South</t>
        </is>
      </c>
      <c r="C5" s="8" t="inlineStr">
        <is>
          <t>Gadget</t>
        </is>
      </c>
      <c r="D5" s="8" t="n">
        <v>67</v>
      </c>
      <c r="E5" s="8" t="n">
        <v>91.48</v>
      </c>
      <c r="F5" s="8" t="n">
        <v>822.01</v>
      </c>
    </row>
    <row r="6">
      <c r="A6" s="8" t="n">
        <v>5</v>
      </c>
      <c r="B6" s="8" t="inlineStr">
        <is>
          <t>West</t>
        </is>
      </c>
      <c r="C6" s="8" t="inlineStr">
        <is>
          <t>Widget</t>
        </is>
      </c>
      <c r="D6" s="8" t="n">
        <v>38</v>
      </c>
      <c r="E6" s="8" t="n">
        <v>83.5</v>
      </c>
      <c r="F6" s="8" t="n">
        <v>4434.69</v>
      </c>
    </row>
    <row r="7">
      <c r="A7" s="8" t="n">
        <v>6</v>
      </c>
      <c r="B7" s="8" t="inlineStr">
        <is>
          <t>North</t>
        </is>
      </c>
      <c r="C7" s="8" t="inlineStr">
        <is>
          <t>Gadget</t>
        </is>
      </c>
      <c r="D7" s="8" t="n">
        <v>16</v>
      </c>
      <c r="E7" s="8" t="n">
        <v>45.68</v>
      </c>
      <c r="F7" s="8" t="n">
        <v>1932.41</v>
      </c>
    </row>
    <row r="8">
      <c r="A8" s="8" t="n">
        <v>7</v>
      </c>
      <c r="B8" s="8" t="inlineStr">
        <is>
          <t>West</t>
        </is>
      </c>
      <c r="C8" s="8" t="inlineStr">
        <is>
          <t>Widget</t>
        </is>
      </c>
      <c r="D8" s="8" t="n">
        <v>57</v>
      </c>
      <c r="E8" s="8" t="n">
        <v>30.21</v>
      </c>
      <c r="F8" s="8" t="n">
        <v>1661.56</v>
      </c>
    </row>
    <row r="9">
      <c r="A9" s="8" t="n">
        <v>8</v>
      </c>
      <c r="B9" s="8" t="inlineStr">
        <is>
          <t>North</t>
        </is>
      </c>
      <c r="C9" s="8" t="inlineStr">
        <is>
          <t>Gizmo</t>
        </is>
      </c>
      <c r="D9" s="8" t="n">
        <v>93</v>
      </c>
      <c r="E9" s="8" t="n">
        <v>40.18</v>
      </c>
      <c r="F9" s="8" t="n">
        <v>815.64</v>
      </c>
    </row>
    <row r="10">
      <c r="A10" s="8" t="n">
        <v>9</v>
      </c>
      <c r="B10" s="8" t="inlineStr">
        <is>
          <t>North</t>
        </is>
      </c>
      <c r="C10" s="8" t="inlineStr">
        <is>
          <t>Gadget</t>
        </is>
      </c>
      <c r="D10" s="8" t="n">
        <v>70</v>
      </c>
      <c r="E10" s="8" t="n">
        <v>72.65000000000001</v>
      </c>
      <c r="F10" s="8" t="n">
        <v>780.08</v>
      </c>
    </row>
    <row r="11">
      <c r="A11" s="8" t="n">
        <v>10</v>
      </c>
      <c r="B11" s="8" t="inlineStr">
        <is>
          <t>West</t>
        </is>
      </c>
      <c r="C11" s="8" t="inlineStr">
        <is>
          <t>Gadget</t>
        </is>
      </c>
      <c r="D11" s="8" t="n">
        <v>88</v>
      </c>
      <c r="E11" s="8" t="n">
        <v>10.47</v>
      </c>
      <c r="F11" s="8" t="n">
        <v>488.21</v>
      </c>
    </row>
    <row r="12">
      <c r="A12" s="8" t="n">
        <v>11</v>
      </c>
      <c r="B12" s="8" t="inlineStr">
        <is>
          <t>East</t>
        </is>
      </c>
      <c r="C12" s="8" t="inlineStr">
        <is>
          <t>Widget</t>
        </is>
      </c>
      <c r="D12" s="8" t="n">
        <v>29</v>
      </c>
      <c r="E12" s="8" t="n">
        <v>59.39</v>
      </c>
      <c r="F12" s="8" t="n">
        <v>3663.45</v>
      </c>
    </row>
    <row r="13">
      <c r="A13" s="8" t="n">
        <v>12</v>
      </c>
      <c r="B13" s="8" t="inlineStr">
        <is>
          <t>West</t>
        </is>
      </c>
      <c r="C13" s="8" t="inlineStr">
        <is>
          <t>Widget</t>
        </is>
      </c>
      <c r="D13" s="8" t="n">
        <v>46</v>
      </c>
      <c r="E13" s="8" t="n">
        <v>31.39</v>
      </c>
      <c r="F13" s="8" t="n">
        <v>697.0599999999999</v>
      </c>
    </row>
    <row r="14">
      <c r="A14" s="8" t="n">
        <v>13</v>
      </c>
      <c r="B14" s="8" t="inlineStr">
        <is>
          <t>South</t>
        </is>
      </c>
      <c r="C14" s="8" t="inlineStr">
        <is>
          <t>Gadget</t>
        </is>
      </c>
      <c r="D14" s="8" t="n">
        <v>91</v>
      </c>
      <c r="E14" s="8" t="n">
        <v>81.45</v>
      </c>
      <c r="F14" s="8" t="n">
        <v>2339.86</v>
      </c>
    </row>
    <row r="15">
      <c r="A15" s="8" t="n">
        <v>14</v>
      </c>
      <c r="B15" s="8" t="inlineStr">
        <is>
          <t>North</t>
        </is>
      </c>
      <c r="C15" s="8" t="inlineStr">
        <is>
          <t>Gadget</t>
        </is>
      </c>
      <c r="D15" s="8" t="n">
        <v>86</v>
      </c>
      <c r="E15" s="8" t="n">
        <v>58.24</v>
      </c>
      <c r="F15" s="8" t="n">
        <v>3196.58</v>
      </c>
    </row>
    <row r="16">
      <c r="A16" s="8" t="n">
        <v>15</v>
      </c>
      <c r="B16" s="8" t="inlineStr">
        <is>
          <t>South</t>
        </is>
      </c>
      <c r="C16" s="8" t="inlineStr">
        <is>
          <t>Gizmo</t>
        </is>
      </c>
      <c r="D16" s="8" t="n">
        <v>28</v>
      </c>
      <c r="E16" s="8" t="n">
        <v>36.21</v>
      </c>
      <c r="F16" s="8" t="n">
        <v>107.67</v>
      </c>
    </row>
    <row r="17">
      <c r="A17" s="8" t="n">
        <v>16</v>
      </c>
      <c r="B17" s="8" t="inlineStr">
        <is>
          <t>East</t>
        </is>
      </c>
      <c r="C17" s="8" t="inlineStr">
        <is>
          <t>Widget</t>
        </is>
      </c>
      <c r="D17" s="8" t="n">
        <v>83</v>
      </c>
      <c r="E17" s="8" t="n">
        <v>47.49</v>
      </c>
      <c r="F17" s="8" t="n">
        <v>3355.42</v>
      </c>
    </row>
    <row r="18">
      <c r="A18" s="8" t="n">
        <v>17</v>
      </c>
      <c r="B18" s="8" t="inlineStr">
        <is>
          <t>North</t>
        </is>
      </c>
      <c r="C18" s="8" t="inlineStr">
        <is>
          <t>Gizmo</t>
        </is>
      </c>
      <c r="D18" s="8" t="n">
        <v>56</v>
      </c>
      <c r="E18" s="8" t="n">
        <v>16.09</v>
      </c>
      <c r="F18" s="8" t="n">
        <v>2677.69</v>
      </c>
    </row>
    <row r="19">
      <c r="A19" s="8" t="n">
        <v>18</v>
      </c>
      <c r="B19" s="8" t="inlineStr">
        <is>
          <t>North</t>
        </is>
      </c>
      <c r="C19" s="8" t="inlineStr">
        <is>
          <t>Gadget</t>
        </is>
      </c>
      <c r="D19" s="8" t="n">
        <v>70</v>
      </c>
      <c r="E19" s="8" t="n">
        <v>13.92</v>
      </c>
      <c r="F19" s="8" t="n">
        <v>1995.72</v>
      </c>
    </row>
    <row r="20">
      <c r="A20" s="8" t="n">
        <v>19</v>
      </c>
      <c r="B20" s="8" t="inlineStr">
        <is>
          <t>East</t>
        </is>
      </c>
      <c r="C20" s="8" t="inlineStr">
        <is>
          <t>Gadget</t>
        </is>
      </c>
      <c r="D20" s="8" t="n">
        <v>12</v>
      </c>
      <c r="E20" s="8" t="n">
        <v>42.14</v>
      </c>
      <c r="F20" s="8" t="n">
        <v>431.04</v>
      </c>
    </row>
    <row r="21">
      <c r="A21" s="8" t="n">
        <v>20</v>
      </c>
      <c r="B21" s="8" t="inlineStr">
        <is>
          <t>South</t>
        </is>
      </c>
      <c r="C21" s="8" t="inlineStr">
        <is>
          <t>Gizmo</t>
        </is>
      </c>
      <c r="D21" s="8" t="n">
        <v>94</v>
      </c>
      <c r="E21" s="8" t="n">
        <v>66.54000000000001</v>
      </c>
      <c r="F21" s="8" t="n">
        <v>3880.36</v>
      </c>
    </row>
    <row r="22">
      <c r="A22" s="8" t="n">
        <v>21</v>
      </c>
      <c r="B22" s="8" t="inlineStr">
        <is>
          <t>East</t>
        </is>
      </c>
      <c r="C22" s="8" t="inlineStr">
        <is>
          <t>Widget</t>
        </is>
      </c>
      <c r="D22" s="8" t="n">
        <v>15</v>
      </c>
      <c r="E22" s="8" t="n">
        <v>41.71</v>
      </c>
      <c r="F22" s="8" t="n">
        <v>1758.88</v>
      </c>
    </row>
    <row r="23">
      <c r="A23" s="8" t="n">
        <v>22</v>
      </c>
      <c r="B23" s="8" t="inlineStr">
        <is>
          <t>South</t>
        </is>
      </c>
      <c r="C23" s="8" t="inlineStr">
        <is>
          <t>Gizmo</t>
        </is>
      </c>
      <c r="D23" s="8" t="n">
        <v>69</v>
      </c>
      <c r="E23" s="8" t="n">
        <v>98.27</v>
      </c>
      <c r="F23" s="8" t="n">
        <v>2444.8</v>
      </c>
    </row>
    <row r="24">
      <c r="A24" s="8" t="n">
        <v>23</v>
      </c>
      <c r="B24" s="8" t="inlineStr">
        <is>
          <t>South</t>
        </is>
      </c>
      <c r="C24" s="8" t="inlineStr">
        <is>
          <t>Widget</t>
        </is>
      </c>
      <c r="D24" s="8" t="n">
        <v>18</v>
      </c>
      <c r="E24" s="8" t="n">
        <v>74.44</v>
      </c>
      <c r="F24" s="8" t="n">
        <v>4723.67</v>
      </c>
    </row>
    <row r="25">
      <c r="A25" s="8" t="n">
        <v>24</v>
      </c>
      <c r="B25" s="8" t="inlineStr">
        <is>
          <t>North</t>
        </is>
      </c>
      <c r="C25" s="8" t="inlineStr">
        <is>
          <t>Gadget</t>
        </is>
      </c>
      <c r="D25" s="8" t="n">
        <v>35</v>
      </c>
      <c r="E25" s="8" t="n">
        <v>13.94</v>
      </c>
      <c r="F25" s="8" t="n">
        <v>1077.4</v>
      </c>
    </row>
    <row r="26">
      <c r="A26" s="8" t="n">
        <v>25</v>
      </c>
      <c r="B26" s="8" t="inlineStr">
        <is>
          <t>North</t>
        </is>
      </c>
      <c r="C26" s="8" t="inlineStr">
        <is>
          <t>Gadget</t>
        </is>
      </c>
      <c r="D26" s="8" t="n">
        <v>49</v>
      </c>
      <c r="E26" s="8" t="n">
        <v>56.38</v>
      </c>
      <c r="F26" s="8" t="n">
        <v>4946.7</v>
      </c>
    </row>
    <row r="27">
      <c r="A27" s="8" t="n">
        <v>26</v>
      </c>
      <c r="B27" s="8" t="inlineStr">
        <is>
          <t>West</t>
        </is>
      </c>
      <c r="C27" s="8" t="inlineStr">
        <is>
          <t>Gadget</t>
        </is>
      </c>
      <c r="D27" s="8" t="n">
        <v>14</v>
      </c>
      <c r="E27" s="8" t="n">
        <v>77.8</v>
      </c>
      <c r="F27" s="8" t="n">
        <v>1036.41</v>
      </c>
    </row>
    <row r="28">
      <c r="A28" s="8" t="n">
        <v>27</v>
      </c>
      <c r="B28" s="8" t="inlineStr">
        <is>
          <t>East</t>
        </is>
      </c>
      <c r="C28" s="8" t="inlineStr">
        <is>
          <t>Widget</t>
        </is>
      </c>
      <c r="D28" s="8" t="n">
        <v>93</v>
      </c>
      <c r="E28" s="8" t="n">
        <v>39.87</v>
      </c>
      <c r="F28" s="8" t="n">
        <v>709.9299999999999</v>
      </c>
    </row>
    <row r="29">
      <c r="A29" s="8" t="n">
        <v>28</v>
      </c>
      <c r="B29" s="8" t="inlineStr">
        <is>
          <t>East</t>
        </is>
      </c>
      <c r="C29" s="8" t="inlineStr">
        <is>
          <t>Gadget</t>
        </is>
      </c>
      <c r="D29" s="8" t="n">
        <v>61</v>
      </c>
      <c r="E29" s="8" t="n">
        <v>76.90000000000001</v>
      </c>
      <c r="F29" s="8" t="n">
        <v>4483.72</v>
      </c>
    </row>
    <row r="30">
      <c r="A30" s="8" t="n">
        <v>29</v>
      </c>
      <c r="B30" s="8" t="inlineStr">
        <is>
          <t>West</t>
        </is>
      </c>
      <c r="C30" s="8" t="inlineStr">
        <is>
          <t>Gadget</t>
        </is>
      </c>
      <c r="D30" s="8" t="n">
        <v>33</v>
      </c>
      <c r="E30" s="8" t="n">
        <v>54.66</v>
      </c>
      <c r="F30" s="8" t="n">
        <v>2537.86</v>
      </c>
    </row>
    <row r="31">
      <c r="A31" s="8" t="n">
        <v>30</v>
      </c>
      <c r="B31" s="8" t="inlineStr">
        <is>
          <t>East</t>
        </is>
      </c>
      <c r="C31" s="8" t="inlineStr">
        <is>
          <t>Widget</t>
        </is>
      </c>
      <c r="D31" s="8" t="n">
        <v>64</v>
      </c>
      <c r="E31" s="8" t="n">
        <v>17.1</v>
      </c>
      <c r="F31" s="8" t="n">
        <v>3052.02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SUMPRODUCT((B2:B31="North")*(C2:C31="Widget")*F2:F31)</f>
        <v/>
      </c>
      <c r="D5" s="11" t="inlineStr">
        <is>
          <t>Two-condition sum</t>
        </is>
      </c>
    </row>
    <row r="6">
      <c r="A6" s="8" t="n"/>
      <c r="B6" s="9" t="inlineStr">
        <is>
          <t>Q2</t>
        </is>
      </c>
      <c r="C6" s="10">
        <f>SUMPRODUCT((D2:D31&gt;50)*(E2:E31&lt;50)*F2:F31)</f>
        <v/>
      </c>
      <c r="D6" s="11" t="inlineStr">
        <is>
          <t>Qty&gt;50 AND Price&lt;50</t>
        </is>
      </c>
    </row>
    <row r="7">
      <c r="A7" s="8" t="n"/>
      <c r="B7" s="9" t="inlineStr">
        <is>
          <t>Q3</t>
        </is>
      </c>
      <c r="C7" s="10">
        <f>SUMPRODUCT((B2:B31="South")*(F2:F31&gt;1000))</f>
        <v/>
      </c>
      <c r="D7" s="11" t="inlineStr">
        <is>
          <t>Count with two conditions</t>
        </is>
      </c>
    </row>
    <row r="8">
      <c r="A8" s="8" t="n"/>
      <c r="B8" s="9" t="inlineStr">
        <is>
          <t>Q4</t>
        </is>
      </c>
      <c r="C8" s="10">
        <f>SUMPRODUCT((B2:B31="East")*F2:F31)/SUMPRODUCT((B2:B31="East")*1)</f>
        <v/>
      </c>
      <c r="D8" s="11" t="inlineStr">
        <is>
          <t>Conditional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