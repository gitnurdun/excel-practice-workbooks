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ummary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55 - Pivot-like Summary Table</t>
        </is>
      </c>
    </row>
    <row r="4">
      <c r="B4" s="2" t="inlineStr">
        <is>
          <t>Difficulty: Expert</t>
        </is>
      </c>
    </row>
    <row r="5">
      <c r="B5" s="3" t="inlineStr">
        <is>
          <t>Category: Summary Analysis</t>
        </is>
      </c>
    </row>
    <row r="6">
      <c r="B6" s="3" t="inlineStr">
        <is>
          <t>Skills Practiced: SUMIFS, AVERAGEIFS, COUNTIFS</t>
        </is>
      </c>
    </row>
    <row r="8">
      <c r="B8" s="2" t="inlineStr">
        <is>
          <t>Instructions</t>
        </is>
      </c>
    </row>
    <row r="9">
      <c r="B9" s="4" t="inlineStr">
        <is>
          <t>Build a summary table manually using SUMIFS/COUNTIFS, simulating a pivot table.</t>
        </is>
      </c>
    </row>
    <row r="11">
      <c r="B11" s="2" t="inlineStr">
        <is>
          <t>Questions to Solve</t>
        </is>
      </c>
    </row>
    <row r="12">
      <c r="B12" s="5" t="inlineStr">
        <is>
          <t>1. Create a summary: Total Sales by Region (use SUMIFS with unique regions).</t>
        </is>
      </c>
    </row>
    <row r="13">
      <c r="B13" s="6" t="inlineStr">
        <is>
          <t>2. Create a summary: Average Sales by Region (AVERAGEIFS).</t>
        </is>
      </c>
    </row>
    <row r="14">
      <c r="B14" s="6" t="inlineStr">
        <is>
          <t>3. Create a summary: Count of Orders by Region (COUNTIFS).</t>
        </is>
      </c>
    </row>
    <row r="15">
      <c r="B15" s="6" t="inlineStr">
        <is>
          <t>4. Find the region with the highest total sales (MAX of the summary).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s="7" t="inlineStr">
        <is>
          <t>OrderID</t>
        </is>
      </c>
      <c r="B1" s="7" t="inlineStr">
        <is>
          <t>Region</t>
        </is>
      </c>
      <c r="C1" s="7" t="inlineStr">
        <is>
          <t>Sales</t>
        </is>
      </c>
    </row>
    <row r="2">
      <c r="A2" s="8" t="n">
        <v>1</v>
      </c>
      <c r="B2" s="8" t="inlineStr">
        <is>
          <t>South</t>
        </is>
      </c>
      <c r="C2" s="8" t="n">
        <v>590.9299999999999</v>
      </c>
    </row>
    <row r="3">
      <c r="A3" s="8" t="n">
        <v>2</v>
      </c>
      <c r="B3" s="8" t="inlineStr">
        <is>
          <t>East</t>
        </is>
      </c>
      <c r="C3" s="8" t="n">
        <v>192.34</v>
      </c>
    </row>
    <row r="4">
      <c r="A4" s="8" t="n">
        <v>3</v>
      </c>
      <c r="B4" s="8" t="inlineStr">
        <is>
          <t>East</t>
        </is>
      </c>
      <c r="C4" s="8" t="n">
        <v>694.83</v>
      </c>
    </row>
    <row r="5">
      <c r="A5" s="8" t="n">
        <v>4</v>
      </c>
      <c r="B5" s="8" t="inlineStr">
        <is>
          <t>East</t>
        </is>
      </c>
      <c r="C5" s="8" t="n">
        <v>501.32</v>
      </c>
    </row>
    <row r="6">
      <c r="A6" s="8" t="n">
        <v>5</v>
      </c>
      <c r="B6" s="8" t="inlineStr">
        <is>
          <t>West</t>
        </is>
      </c>
      <c r="C6" s="8" t="n">
        <v>249.98</v>
      </c>
    </row>
    <row r="7">
      <c r="A7" s="8" t="n">
        <v>6</v>
      </c>
      <c r="B7" s="8" t="inlineStr">
        <is>
          <t>West</t>
        </is>
      </c>
      <c r="C7" s="8" t="n">
        <v>416.39</v>
      </c>
    </row>
    <row r="8">
      <c r="A8" s="8" t="n">
        <v>7</v>
      </c>
      <c r="B8" s="8" t="inlineStr">
        <is>
          <t>North</t>
        </is>
      </c>
      <c r="C8" s="8" t="n">
        <v>754.13</v>
      </c>
    </row>
    <row r="9">
      <c r="A9" s="8" t="n">
        <v>8</v>
      </c>
      <c r="B9" s="8" t="inlineStr">
        <is>
          <t>East</t>
        </is>
      </c>
      <c r="C9" s="8" t="n">
        <v>653.37</v>
      </c>
    </row>
    <row r="10">
      <c r="A10" s="8" t="n">
        <v>9</v>
      </c>
      <c r="B10" s="8" t="inlineStr">
        <is>
          <t>West</t>
        </is>
      </c>
      <c r="C10" s="8" t="n">
        <v>347.1</v>
      </c>
    </row>
    <row r="11">
      <c r="A11" s="8" t="n">
        <v>10</v>
      </c>
      <c r="B11" s="8" t="inlineStr">
        <is>
          <t>North</t>
        </is>
      </c>
      <c r="C11" s="8" t="n">
        <v>167.54</v>
      </c>
    </row>
    <row r="12">
      <c r="A12" s="8" t="n">
        <v>11</v>
      </c>
      <c r="B12" s="8" t="inlineStr">
        <is>
          <t>West</t>
        </is>
      </c>
      <c r="C12" s="8" t="n">
        <v>426.98</v>
      </c>
    </row>
    <row r="13">
      <c r="A13" s="8" t="n">
        <v>12</v>
      </c>
      <c r="B13" s="8" t="inlineStr">
        <is>
          <t>South</t>
        </is>
      </c>
      <c r="C13" s="8" t="n">
        <v>957.51</v>
      </c>
    </row>
    <row r="14">
      <c r="A14" s="8" t="n">
        <v>13</v>
      </c>
      <c r="B14" s="8" t="inlineStr">
        <is>
          <t>South</t>
        </is>
      </c>
      <c r="C14" s="8" t="n">
        <v>863.8</v>
      </c>
    </row>
    <row r="15">
      <c r="A15" s="8" t="n">
        <v>14</v>
      </c>
      <c r="B15" s="8" t="inlineStr">
        <is>
          <t>West</t>
        </is>
      </c>
      <c r="C15" s="8" t="n">
        <v>131.32</v>
      </c>
    </row>
    <row r="16">
      <c r="A16" s="8" t="n">
        <v>15</v>
      </c>
      <c r="B16" s="8" t="inlineStr">
        <is>
          <t>North</t>
        </is>
      </c>
      <c r="C16" s="8" t="n">
        <v>312.4</v>
      </c>
    </row>
    <row r="17">
      <c r="A17" s="8" t="n">
        <v>16</v>
      </c>
      <c r="B17" s="8" t="inlineStr">
        <is>
          <t>East</t>
        </is>
      </c>
      <c r="C17" s="8" t="n">
        <v>425.94</v>
      </c>
    </row>
    <row r="18">
      <c r="A18" s="8" t="n">
        <v>17</v>
      </c>
      <c r="B18" s="8" t="inlineStr">
        <is>
          <t>North</t>
        </is>
      </c>
      <c r="C18" s="8" t="n">
        <v>644.59</v>
      </c>
    </row>
    <row r="19">
      <c r="A19" s="8" t="n">
        <v>18</v>
      </c>
      <c r="B19" s="8" t="inlineStr">
        <is>
          <t>West</t>
        </is>
      </c>
      <c r="C19" s="8" t="n">
        <v>953.9400000000001</v>
      </c>
    </row>
    <row r="20">
      <c r="A20" s="8" t="n">
        <v>19</v>
      </c>
      <c r="B20" s="8" t="inlineStr">
        <is>
          <t>East</t>
        </is>
      </c>
      <c r="C20" s="8" t="n">
        <v>499.55</v>
      </c>
    </row>
    <row r="21">
      <c r="A21" s="8" t="n">
        <v>20</v>
      </c>
      <c r="B21" s="8" t="inlineStr">
        <is>
          <t>North</t>
        </is>
      </c>
      <c r="C21" s="8" t="n">
        <v>616.53</v>
      </c>
    </row>
    <row r="22">
      <c r="A22" s="8" t="n">
        <v>21</v>
      </c>
      <c r="B22" s="8" t="inlineStr">
        <is>
          <t>East</t>
        </is>
      </c>
      <c r="C22" s="8" t="n">
        <v>458.23</v>
      </c>
    </row>
    <row r="23">
      <c r="A23" s="8" t="n">
        <v>22</v>
      </c>
      <c r="B23" s="8" t="inlineStr">
        <is>
          <t>East</t>
        </is>
      </c>
      <c r="C23" s="8" t="n">
        <v>324.65</v>
      </c>
    </row>
    <row r="24">
      <c r="A24" s="8" t="n">
        <v>23</v>
      </c>
      <c r="B24" s="8" t="inlineStr">
        <is>
          <t>North</t>
        </is>
      </c>
      <c r="C24" s="8" t="n">
        <v>123.32</v>
      </c>
    </row>
    <row r="25">
      <c r="A25" s="8" t="n">
        <v>24</v>
      </c>
      <c r="B25" s="8" t="inlineStr">
        <is>
          <t>South</t>
        </is>
      </c>
      <c r="C25" s="8" t="n">
        <v>549.14</v>
      </c>
    </row>
    <row r="26">
      <c r="A26" s="8" t="n">
        <v>25</v>
      </c>
      <c r="B26" s="8" t="inlineStr">
        <is>
          <t>West</t>
        </is>
      </c>
      <c r="C26" s="8" t="n">
        <v>922.1900000000001</v>
      </c>
    </row>
    <row r="27">
      <c r="A27" s="8" t="n">
        <v>26</v>
      </c>
      <c r="B27" s="8" t="inlineStr">
        <is>
          <t>North</t>
        </is>
      </c>
      <c r="C27" s="8" t="n">
        <v>335.6</v>
      </c>
    </row>
    <row r="28">
      <c r="A28" s="8" t="n">
        <v>27</v>
      </c>
      <c r="B28" s="8" t="inlineStr">
        <is>
          <t>East</t>
        </is>
      </c>
      <c r="C28" s="8" t="n">
        <v>733.63</v>
      </c>
    </row>
    <row r="29">
      <c r="A29" s="8" t="n">
        <v>28</v>
      </c>
      <c r="B29" s="8" t="inlineStr">
        <is>
          <t>South</t>
        </is>
      </c>
      <c r="C29" s="8" t="n">
        <v>996.73</v>
      </c>
    </row>
    <row r="30">
      <c r="A30" s="8" t="n">
        <v>29</v>
      </c>
      <c r="B30" s="8" t="inlineStr">
        <is>
          <t>East</t>
        </is>
      </c>
      <c r="C30" s="8" t="n">
        <v>724.58</v>
      </c>
    </row>
    <row r="31">
      <c r="A31" s="8" t="n">
        <v>30</v>
      </c>
      <c r="B31" s="8" t="inlineStr">
        <is>
          <t>West</t>
        </is>
      </c>
      <c r="C31" s="8" t="n">
        <v>280.16</v>
      </c>
    </row>
    <row r="32">
      <c r="A32" s="8" t="n">
        <v>31</v>
      </c>
      <c r="B32" s="8" t="inlineStr">
        <is>
          <t>South</t>
        </is>
      </c>
      <c r="C32" s="8" t="n">
        <v>867.54</v>
      </c>
    </row>
    <row r="33">
      <c r="A33" s="8" t="n">
        <v>32</v>
      </c>
      <c r="B33" s="8" t="inlineStr">
        <is>
          <t>West</t>
        </is>
      </c>
      <c r="C33" s="8" t="n">
        <v>255.39</v>
      </c>
    </row>
    <row r="34">
      <c r="A34" s="8" t="n">
        <v>33</v>
      </c>
      <c r="B34" s="8" t="inlineStr">
        <is>
          <t>West</t>
        </is>
      </c>
      <c r="C34" s="8" t="n">
        <v>997.54</v>
      </c>
    </row>
    <row r="35">
      <c r="A35" s="8" t="n">
        <v>34</v>
      </c>
      <c r="B35" s="8" t="inlineStr">
        <is>
          <t>East</t>
        </is>
      </c>
      <c r="C35" s="8" t="n">
        <v>701.0599999999999</v>
      </c>
    </row>
    <row r="36">
      <c r="A36" s="8" t="n">
        <v>35</v>
      </c>
      <c r="B36" s="8" t="inlineStr">
        <is>
          <t>North</t>
        </is>
      </c>
      <c r="C36" s="8" t="n">
        <v>595</v>
      </c>
    </row>
    <row r="37">
      <c r="A37" s="8" t="n">
        <v>36</v>
      </c>
      <c r="B37" s="8" t="inlineStr">
        <is>
          <t>East</t>
        </is>
      </c>
      <c r="C37" s="8" t="n">
        <v>902.2</v>
      </c>
    </row>
    <row r="38">
      <c r="A38" s="8" t="n">
        <v>37</v>
      </c>
      <c r="B38" s="8" t="inlineStr">
        <is>
          <t>South</t>
        </is>
      </c>
      <c r="C38" s="8" t="n">
        <v>740.63</v>
      </c>
    </row>
    <row r="39">
      <c r="A39" s="8" t="n">
        <v>38</v>
      </c>
      <c r="B39" s="8" t="inlineStr">
        <is>
          <t>South</t>
        </is>
      </c>
      <c r="C39" s="8" t="n">
        <v>814.33</v>
      </c>
    </row>
    <row r="40">
      <c r="A40" s="8" t="n">
        <v>39</v>
      </c>
      <c r="B40" s="8" t="inlineStr">
        <is>
          <t>South</t>
        </is>
      </c>
      <c r="C40" s="8" t="n">
        <v>209.23</v>
      </c>
    </row>
    <row r="41">
      <c r="A41" s="8" t="n">
        <v>40</v>
      </c>
      <c r="B41" s="8" t="inlineStr">
        <is>
          <t>South</t>
        </is>
      </c>
      <c r="C41" s="8" t="n">
        <v>812.86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Region</t>
        </is>
      </c>
      <c r="B1" s="7" t="inlineStr">
        <is>
          <t>TotalSales</t>
        </is>
      </c>
      <c r="C1" s="7" t="inlineStr">
        <is>
          <t>AvgSales</t>
        </is>
      </c>
      <c r="D1" s="7" t="inlineStr">
        <is>
          <t>OrderCount</t>
        </is>
      </c>
    </row>
    <row r="2">
      <c r="A2" s="8" t="inlineStr">
        <is>
          <t>North</t>
        </is>
      </c>
      <c r="B2" s="8" t="inlineStr"/>
      <c r="C2" s="8" t="inlineStr"/>
      <c r="D2" s="8" t="inlineStr"/>
    </row>
    <row r="3">
      <c r="A3" s="8" t="inlineStr">
        <is>
          <t>South</t>
        </is>
      </c>
      <c r="B3" s="8" t="inlineStr"/>
      <c r="C3" s="8" t="inlineStr"/>
      <c r="D3" s="8" t="inlineStr"/>
    </row>
    <row r="4">
      <c r="A4" s="8" t="inlineStr">
        <is>
          <t>East</t>
        </is>
      </c>
      <c r="B4" s="8" t="inlineStr"/>
      <c r="C4" s="8" t="inlineStr"/>
      <c r="D4" s="8" t="inlineStr"/>
    </row>
    <row r="5">
      <c r="A5" s="8" t="inlineStr">
        <is>
          <t>West</t>
        </is>
      </c>
      <c r="B5" s="8" t="inlineStr"/>
      <c r="C5" s="8" t="inlineStr"/>
      <c r="D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SUMIFS(Data!C2:C41,Data!B2:B41,A2) [fill down]</f>
        <v/>
      </c>
      <c r="D5" s="11" t="inlineStr">
        <is>
          <t>SUMIFS for total by region</t>
        </is>
      </c>
    </row>
    <row r="6">
      <c r="A6" s="8" t="n"/>
      <c r="B6" s="9" t="inlineStr">
        <is>
          <t>Q2</t>
        </is>
      </c>
      <c r="C6" s="10">
        <f>AVERAGEIFS(Data!C2:C41,Data!B2:B41,A2) [fill down]</f>
        <v/>
      </c>
      <c r="D6" s="11" t="inlineStr">
        <is>
          <t>AVERAGEIFS by region</t>
        </is>
      </c>
    </row>
    <row r="7">
      <c r="A7" s="8" t="n"/>
      <c r="B7" s="9" t="inlineStr">
        <is>
          <t>Q3</t>
        </is>
      </c>
      <c r="C7" s="10">
        <f>COUNTIFS(Data!B2:B41,A2) [fill down]</f>
        <v/>
      </c>
      <c r="D7" s="11" t="inlineStr">
        <is>
          <t>COUNTIFS by region</t>
        </is>
      </c>
    </row>
    <row r="8">
      <c r="A8" s="8" t="n"/>
      <c r="B8" s="9" t="inlineStr">
        <is>
          <t>Q4</t>
        </is>
      </c>
      <c r="C8" s="10">
        <f>INDEX(A2:A5,MATCH(MAX(B2:B5),B2:B5,0))</f>
        <v/>
      </c>
      <c r="D8" s="11" t="inlineStr">
        <is>
          <t>Region with highest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