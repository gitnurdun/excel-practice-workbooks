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ummary" sheetId="3" state="visible" r:id="rId3"/>
    <sheet name="Solution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60 - Dashboard Summary (Comprehensive)</t>
        </is>
      </c>
    </row>
    <row r="4">
      <c r="B4" s="2" t="inlineStr">
        <is>
          <t>Difficulty: Expert</t>
        </is>
      </c>
    </row>
    <row r="5">
      <c r="B5" s="3" t="inlineStr">
        <is>
          <t>Category: Combined Skills</t>
        </is>
      </c>
    </row>
    <row r="6">
      <c r="B6" s="3" t="inlineStr">
        <is>
          <t>Skills Practiced: SUM, SUMIF, AVERAGE, COUNTIF, VLOOKUP, IF, MAX, MIN</t>
        </is>
      </c>
    </row>
    <row r="8">
      <c r="B8" s="2" t="inlineStr">
        <is>
          <t>Instructions</t>
        </is>
      </c>
    </row>
    <row r="9">
      <c r="B9" s="4" t="inlineStr">
        <is>
          <t>This combines many skills. Build a mini-dashboard on a Summary sheet.</t>
        </is>
      </c>
    </row>
    <row r="11">
      <c r="B11" s="2" t="inlineStr">
        <is>
          <t>Questions to Solve</t>
        </is>
      </c>
    </row>
    <row r="12">
      <c r="B12" s="5" t="inlineStr">
        <is>
          <t>1. Calculate Total Revenue (SUM of Sales).</t>
        </is>
      </c>
    </row>
    <row r="13">
      <c r="B13" s="6" t="inlineStr">
        <is>
          <t>2. Calculate Revenue by Region (SUMIF).</t>
        </is>
      </c>
    </row>
    <row r="14">
      <c r="B14" s="6" t="inlineStr">
        <is>
          <t>3. Find the Best-selling Product (MAX sales + INDEX/MATCH).</t>
        </is>
      </c>
    </row>
    <row r="15">
      <c r="B15" s="6" t="inlineStr">
        <is>
          <t>4. Calculate Average Order Value.</t>
        </is>
      </c>
    </row>
    <row r="16">
      <c r="B16" s="6" t="inlineStr">
        <is>
          <t>5. Count orders above average (COUNTIF with AVERAGE).</t>
        </is>
      </c>
    </row>
    <row r="17">
      <c r="B17" s="6" t="inlineStr">
        <is>
          <t>6. Look up a customer's total (VLOOKUP + SUMIF).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</cols>
  <sheetData>
    <row r="1">
      <c r="A1" s="7" t="inlineStr">
        <is>
          <t>OrderID</t>
        </is>
      </c>
      <c r="B1" s="7" t="inlineStr">
        <is>
          <t>Customer</t>
        </is>
      </c>
      <c r="C1" s="7" t="inlineStr">
        <is>
          <t>Region</t>
        </is>
      </c>
      <c r="D1" s="7" t="inlineStr">
        <is>
          <t>Product</t>
        </is>
      </c>
      <c r="E1" s="7" t="inlineStr">
        <is>
          <t>Sales</t>
        </is>
      </c>
    </row>
    <row r="2">
      <c r="A2" s="8" t="n">
        <v>1</v>
      </c>
      <c r="B2" s="8" t="inlineStr">
        <is>
          <t>Diana</t>
        </is>
      </c>
      <c r="C2" s="8" t="inlineStr">
        <is>
          <t>West</t>
        </is>
      </c>
      <c r="D2" s="8" t="inlineStr">
        <is>
          <t>Gadget</t>
        </is>
      </c>
      <c r="E2" s="8" t="n">
        <v>1045</v>
      </c>
    </row>
    <row r="3">
      <c r="A3" s="8" t="n">
        <v>2</v>
      </c>
      <c r="B3" s="8" t="inlineStr">
        <is>
          <t>Alice</t>
        </is>
      </c>
      <c r="C3" s="8" t="inlineStr">
        <is>
          <t>West</t>
        </is>
      </c>
      <c r="D3" s="8" t="inlineStr">
        <is>
          <t>Gizmo</t>
        </is>
      </c>
      <c r="E3" s="8" t="n">
        <v>968.74</v>
      </c>
    </row>
    <row r="4">
      <c r="A4" s="8" t="n">
        <v>3</v>
      </c>
      <c r="B4" s="8" t="inlineStr">
        <is>
          <t>Bob</t>
        </is>
      </c>
      <c r="C4" s="8" t="inlineStr">
        <is>
          <t>South</t>
        </is>
      </c>
      <c r="D4" s="8" t="inlineStr">
        <is>
          <t>Gizmo</t>
        </is>
      </c>
      <c r="E4" s="8" t="n">
        <v>770.5</v>
      </c>
    </row>
    <row r="5">
      <c r="A5" s="8" t="n">
        <v>4</v>
      </c>
      <c r="B5" s="8" t="inlineStr">
        <is>
          <t>Alice</t>
        </is>
      </c>
      <c r="C5" s="8" t="inlineStr">
        <is>
          <t>East</t>
        </is>
      </c>
      <c r="D5" s="8" t="inlineStr">
        <is>
          <t>Gadget</t>
        </is>
      </c>
      <c r="E5" s="8" t="n">
        <v>1235.29</v>
      </c>
    </row>
    <row r="6">
      <c r="A6" s="8" t="n">
        <v>5</v>
      </c>
      <c r="B6" s="8" t="inlineStr">
        <is>
          <t>Diana</t>
        </is>
      </c>
      <c r="C6" s="8" t="inlineStr">
        <is>
          <t>East</t>
        </is>
      </c>
      <c r="D6" s="8" t="inlineStr">
        <is>
          <t>Gizmo</t>
        </is>
      </c>
      <c r="E6" s="8" t="n">
        <v>115.54</v>
      </c>
    </row>
    <row r="7">
      <c r="A7" s="8" t="n">
        <v>6</v>
      </c>
      <c r="B7" s="8" t="inlineStr">
        <is>
          <t>Alice</t>
        </is>
      </c>
      <c r="C7" s="8" t="inlineStr">
        <is>
          <t>West</t>
        </is>
      </c>
      <c r="D7" s="8" t="inlineStr">
        <is>
          <t>Widget</t>
        </is>
      </c>
      <c r="E7" s="8" t="n">
        <v>1776.67</v>
      </c>
    </row>
    <row r="8">
      <c r="A8" s="8" t="n">
        <v>7</v>
      </c>
      <c r="B8" s="8" t="inlineStr">
        <is>
          <t>Charlie</t>
        </is>
      </c>
      <c r="C8" s="8" t="inlineStr">
        <is>
          <t>West</t>
        </is>
      </c>
      <c r="D8" s="8" t="inlineStr">
        <is>
          <t>Gadget</t>
        </is>
      </c>
      <c r="E8" s="8" t="n">
        <v>185.96</v>
      </c>
    </row>
    <row r="9">
      <c r="A9" s="8" t="n">
        <v>8</v>
      </c>
      <c r="B9" s="8" t="inlineStr">
        <is>
          <t>Alice</t>
        </is>
      </c>
      <c r="C9" s="8" t="inlineStr">
        <is>
          <t>South</t>
        </is>
      </c>
      <c r="D9" s="8" t="inlineStr">
        <is>
          <t>Gadget</t>
        </is>
      </c>
      <c r="E9" s="8" t="n">
        <v>1151.12</v>
      </c>
    </row>
    <row r="10">
      <c r="A10" s="8" t="n">
        <v>9</v>
      </c>
      <c r="B10" s="8" t="inlineStr">
        <is>
          <t>Alice</t>
        </is>
      </c>
      <c r="C10" s="8" t="inlineStr">
        <is>
          <t>West</t>
        </is>
      </c>
      <c r="D10" s="8" t="inlineStr">
        <is>
          <t>Gizmo</t>
        </is>
      </c>
      <c r="E10" s="8" t="n">
        <v>955.67</v>
      </c>
    </row>
    <row r="11">
      <c r="A11" s="8" t="n">
        <v>10</v>
      </c>
      <c r="B11" s="8" t="inlineStr">
        <is>
          <t>Eve</t>
        </is>
      </c>
      <c r="C11" s="8" t="inlineStr">
        <is>
          <t>East</t>
        </is>
      </c>
      <c r="D11" s="8" t="inlineStr">
        <is>
          <t>Gizmo</t>
        </is>
      </c>
      <c r="E11" s="8" t="n">
        <v>1392.76</v>
      </c>
    </row>
    <row r="12">
      <c r="A12" s="8" t="n">
        <v>11</v>
      </c>
      <c r="B12" s="8" t="inlineStr">
        <is>
          <t>Alice</t>
        </is>
      </c>
      <c r="C12" s="8" t="inlineStr">
        <is>
          <t>South</t>
        </is>
      </c>
      <c r="D12" s="8" t="inlineStr">
        <is>
          <t>Widget</t>
        </is>
      </c>
      <c r="E12" s="8" t="n">
        <v>848.42</v>
      </c>
    </row>
    <row r="13">
      <c r="A13" s="8" t="n">
        <v>12</v>
      </c>
      <c r="B13" s="8" t="inlineStr">
        <is>
          <t>Charlie</t>
        </is>
      </c>
      <c r="C13" s="8" t="inlineStr">
        <is>
          <t>East</t>
        </is>
      </c>
      <c r="D13" s="8" t="inlineStr">
        <is>
          <t>Widget</t>
        </is>
      </c>
      <c r="E13" s="8" t="n">
        <v>478.21</v>
      </c>
    </row>
    <row r="14">
      <c r="A14" s="8" t="n">
        <v>13</v>
      </c>
      <c r="B14" s="8" t="inlineStr">
        <is>
          <t>Eve</t>
        </is>
      </c>
      <c r="C14" s="8" t="inlineStr">
        <is>
          <t>West</t>
        </is>
      </c>
      <c r="D14" s="8" t="inlineStr">
        <is>
          <t>Gizmo</t>
        </is>
      </c>
      <c r="E14" s="8" t="n">
        <v>176.48</v>
      </c>
    </row>
    <row r="15">
      <c r="A15" s="8" t="n">
        <v>14</v>
      </c>
      <c r="B15" s="8" t="inlineStr">
        <is>
          <t>Alice</t>
        </is>
      </c>
      <c r="C15" s="8" t="inlineStr">
        <is>
          <t>South</t>
        </is>
      </c>
      <c r="D15" s="8" t="inlineStr">
        <is>
          <t>Gizmo</t>
        </is>
      </c>
      <c r="E15" s="8" t="n">
        <v>732.78</v>
      </c>
    </row>
    <row r="16">
      <c r="A16" s="8" t="n">
        <v>15</v>
      </c>
      <c r="B16" s="8" t="inlineStr">
        <is>
          <t>Diana</t>
        </is>
      </c>
      <c r="C16" s="8" t="inlineStr">
        <is>
          <t>West</t>
        </is>
      </c>
      <c r="D16" s="8" t="inlineStr">
        <is>
          <t>Widget</t>
        </is>
      </c>
      <c r="E16" s="8" t="n">
        <v>1251.89</v>
      </c>
    </row>
    <row r="17">
      <c r="A17" s="8" t="n">
        <v>16</v>
      </c>
      <c r="B17" s="8" t="inlineStr">
        <is>
          <t>Eve</t>
        </is>
      </c>
      <c r="C17" s="8" t="inlineStr">
        <is>
          <t>South</t>
        </is>
      </c>
      <c r="D17" s="8" t="inlineStr">
        <is>
          <t>Gadget</t>
        </is>
      </c>
      <c r="E17" s="8" t="n">
        <v>1869.6</v>
      </c>
    </row>
    <row r="18">
      <c r="A18" s="8" t="n">
        <v>17</v>
      </c>
      <c r="B18" s="8" t="inlineStr">
        <is>
          <t>Charlie</t>
        </is>
      </c>
      <c r="C18" s="8" t="inlineStr">
        <is>
          <t>South</t>
        </is>
      </c>
      <c r="D18" s="8" t="inlineStr">
        <is>
          <t>Gadget</t>
        </is>
      </c>
      <c r="E18" s="8" t="n">
        <v>1982.17</v>
      </c>
    </row>
    <row r="19">
      <c r="A19" s="8" t="n">
        <v>18</v>
      </c>
      <c r="B19" s="8" t="inlineStr">
        <is>
          <t>Charlie</t>
        </is>
      </c>
      <c r="C19" s="8" t="inlineStr">
        <is>
          <t>East</t>
        </is>
      </c>
      <c r="D19" s="8" t="inlineStr">
        <is>
          <t>Gizmo</t>
        </is>
      </c>
      <c r="E19" s="8" t="n">
        <v>1673.75</v>
      </c>
    </row>
    <row r="20">
      <c r="A20" s="8" t="n">
        <v>19</v>
      </c>
      <c r="B20" s="8" t="inlineStr">
        <is>
          <t>Eve</t>
        </is>
      </c>
      <c r="C20" s="8" t="inlineStr">
        <is>
          <t>West</t>
        </is>
      </c>
      <c r="D20" s="8" t="inlineStr">
        <is>
          <t>Gizmo</t>
        </is>
      </c>
      <c r="E20" s="8" t="n">
        <v>1169.56</v>
      </c>
    </row>
    <row r="21">
      <c r="A21" s="8" t="n">
        <v>20</v>
      </c>
      <c r="B21" s="8" t="inlineStr">
        <is>
          <t>Diana</t>
        </is>
      </c>
      <c r="C21" s="8" t="inlineStr">
        <is>
          <t>North</t>
        </is>
      </c>
      <c r="D21" s="8" t="inlineStr">
        <is>
          <t>Gadget</t>
        </is>
      </c>
      <c r="E21" s="8" t="n">
        <v>729.36</v>
      </c>
    </row>
    <row r="22">
      <c r="A22" s="8" t="n">
        <v>21</v>
      </c>
      <c r="B22" s="8" t="inlineStr">
        <is>
          <t>Alice</t>
        </is>
      </c>
      <c r="C22" s="8" t="inlineStr">
        <is>
          <t>West</t>
        </is>
      </c>
      <c r="D22" s="8" t="inlineStr">
        <is>
          <t>Gizmo</t>
        </is>
      </c>
      <c r="E22" s="8" t="n">
        <v>684.59</v>
      </c>
    </row>
    <row r="23">
      <c r="A23" s="8" t="n">
        <v>22</v>
      </c>
      <c r="B23" s="8" t="inlineStr">
        <is>
          <t>Alice</t>
        </is>
      </c>
      <c r="C23" s="8" t="inlineStr">
        <is>
          <t>West</t>
        </is>
      </c>
      <c r="D23" s="8" t="inlineStr">
        <is>
          <t>Gadget</t>
        </is>
      </c>
      <c r="E23" s="8" t="n">
        <v>1937.43</v>
      </c>
    </row>
    <row r="24">
      <c r="A24" s="8" t="n">
        <v>23</v>
      </c>
      <c r="B24" s="8" t="inlineStr">
        <is>
          <t>Eve</t>
        </is>
      </c>
      <c r="C24" s="8" t="inlineStr">
        <is>
          <t>South</t>
        </is>
      </c>
      <c r="D24" s="8" t="inlineStr">
        <is>
          <t>Gizmo</t>
        </is>
      </c>
      <c r="E24" s="8" t="n">
        <v>197.57</v>
      </c>
    </row>
    <row r="25">
      <c r="A25" s="8" t="n">
        <v>24</v>
      </c>
      <c r="B25" s="8" t="inlineStr">
        <is>
          <t>Diana</t>
        </is>
      </c>
      <c r="C25" s="8" t="inlineStr">
        <is>
          <t>South</t>
        </is>
      </c>
      <c r="D25" s="8" t="inlineStr">
        <is>
          <t>Gizmo</t>
        </is>
      </c>
      <c r="E25" s="8" t="n">
        <v>1295.15</v>
      </c>
    </row>
    <row r="26">
      <c r="A26" s="8" t="n">
        <v>25</v>
      </c>
      <c r="B26" s="8" t="inlineStr">
        <is>
          <t>Eve</t>
        </is>
      </c>
      <c r="C26" s="8" t="inlineStr">
        <is>
          <t>West</t>
        </is>
      </c>
      <c r="D26" s="8" t="inlineStr">
        <is>
          <t>Widget</t>
        </is>
      </c>
      <c r="E26" s="8" t="n">
        <v>1661.16</v>
      </c>
    </row>
    <row r="27">
      <c r="A27" s="8" t="n">
        <v>26</v>
      </c>
      <c r="B27" s="8" t="inlineStr">
        <is>
          <t>Bob</t>
        </is>
      </c>
      <c r="C27" s="8" t="inlineStr">
        <is>
          <t>North</t>
        </is>
      </c>
      <c r="D27" s="8" t="inlineStr">
        <is>
          <t>Gizmo</t>
        </is>
      </c>
      <c r="E27" s="8" t="n">
        <v>1901.59</v>
      </c>
    </row>
    <row r="28">
      <c r="A28" s="8" t="n">
        <v>27</v>
      </c>
      <c r="B28" s="8" t="inlineStr">
        <is>
          <t>Alice</t>
        </is>
      </c>
      <c r="C28" s="8" t="inlineStr">
        <is>
          <t>South</t>
        </is>
      </c>
      <c r="D28" s="8" t="inlineStr">
        <is>
          <t>Widget</t>
        </is>
      </c>
      <c r="E28" s="8" t="n">
        <v>937.97</v>
      </c>
    </row>
    <row r="29">
      <c r="A29" s="8" t="n">
        <v>28</v>
      </c>
      <c r="B29" s="8" t="inlineStr">
        <is>
          <t>Diana</t>
        </is>
      </c>
      <c r="C29" s="8" t="inlineStr">
        <is>
          <t>South</t>
        </is>
      </c>
      <c r="D29" s="8" t="inlineStr">
        <is>
          <t>Gadget</t>
        </is>
      </c>
      <c r="E29" s="8" t="n">
        <v>1411.95</v>
      </c>
    </row>
    <row r="30">
      <c r="A30" s="8" t="n">
        <v>29</v>
      </c>
      <c r="B30" s="8" t="inlineStr">
        <is>
          <t>Diana</t>
        </is>
      </c>
      <c r="C30" s="8" t="inlineStr">
        <is>
          <t>West</t>
        </is>
      </c>
      <c r="D30" s="8" t="inlineStr">
        <is>
          <t>Gizmo</t>
        </is>
      </c>
      <c r="E30" s="8" t="n">
        <v>1482.06</v>
      </c>
    </row>
    <row r="31">
      <c r="A31" s="8" t="n">
        <v>30</v>
      </c>
      <c r="B31" s="8" t="inlineStr">
        <is>
          <t>Bob</t>
        </is>
      </c>
      <c r="C31" s="8" t="inlineStr">
        <is>
          <t>South</t>
        </is>
      </c>
      <c r="D31" s="8" t="inlineStr">
        <is>
          <t>Gizmo</t>
        </is>
      </c>
      <c r="E31" s="8" t="n">
        <v>717.59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8" t="inlineStr">
        <is>
          <t>Total Revenue</t>
        </is>
      </c>
      <c r="B2" s="8" t="inlineStr"/>
    </row>
    <row r="3">
      <c r="A3" s="8" t="inlineStr">
        <is>
          <t>North Revenue</t>
        </is>
      </c>
      <c r="B3" s="8" t="inlineStr"/>
    </row>
    <row r="4">
      <c r="A4" s="8" t="inlineStr">
        <is>
          <t>South Revenue</t>
        </is>
      </c>
      <c r="B4" s="8" t="inlineStr"/>
    </row>
    <row r="5">
      <c r="A5" s="8" t="inlineStr">
        <is>
          <t>Best Product</t>
        </is>
      </c>
      <c r="B5" s="8" t="inlineStr"/>
    </row>
    <row r="6">
      <c r="A6" s="8" t="inlineStr">
        <is>
          <t>Avg Order Value</t>
        </is>
      </c>
      <c r="B6" s="8" t="inlineStr"/>
    </row>
    <row r="7">
      <c r="A7" s="8" t="inlineStr">
        <is>
          <t>Orders Above Avg</t>
        </is>
      </c>
      <c r="B7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10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SUM(Data!E2:E31)</f>
        <v/>
      </c>
      <c r="D5" s="11" t="inlineStr">
        <is>
          <t>Total revenue</t>
        </is>
      </c>
    </row>
    <row r="6">
      <c r="A6" s="8" t="n"/>
      <c r="B6" s="9" t="inlineStr">
        <is>
          <t>Q2</t>
        </is>
      </c>
      <c r="C6" s="10">
        <f>SUMIF(Data!C2:C31,"North",Data!E2:E31)</f>
        <v/>
      </c>
      <c r="D6" s="11" t="inlineStr">
        <is>
          <t>North region revenue</t>
        </is>
      </c>
    </row>
    <row r="7">
      <c r="A7" s="8" t="n"/>
      <c r="B7" s="9" t="inlineStr">
        <is>
          <t>Q3</t>
        </is>
      </c>
      <c r="C7" s="10">
        <f>INDEX(Data!D2:D31,MATCH(MAX(Data!E2:E31),Data!E2:E31,0))</f>
        <v/>
      </c>
      <c r="D7" s="11" t="inlineStr">
        <is>
          <t>Product with max sale</t>
        </is>
      </c>
    </row>
    <row r="8">
      <c r="A8" s="8" t="n"/>
      <c r="B8" s="9" t="inlineStr">
        <is>
          <t>Q4</t>
        </is>
      </c>
      <c r="C8" s="10">
        <f>AVERAGE(Data!E2:E31)</f>
        <v/>
      </c>
      <c r="D8" s="11" t="inlineStr">
        <is>
          <t>Average order value</t>
        </is>
      </c>
    </row>
    <row r="9">
      <c r="A9" s="8" t="n"/>
      <c r="B9" s="9" t="inlineStr">
        <is>
          <t>Q5</t>
        </is>
      </c>
      <c r="C9" s="10">
        <f>COUNTIF(Data!E2:E31,"&gt;"&amp;AVERAGE(Data!E2:E31))</f>
        <v/>
      </c>
      <c r="D9" s="11" t="inlineStr">
        <is>
          <t>Count above average</t>
        </is>
      </c>
    </row>
    <row r="10">
      <c r="A10" s="8" t="n"/>
      <c r="B10" s="9" t="inlineStr">
        <is>
          <t>Q6</t>
        </is>
      </c>
      <c r="C10" s="10">
        <f>SUMIF(Data!B2:B31,"Alice",Data!E2:E31)</f>
        <v/>
      </c>
      <c r="D10" s="11" t="inlineStr">
        <is>
          <t>Alice's total purchases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